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Client\C$\Users\Christine\OneDrive\Keller\BIAM500\Week 3\"/>
    </mc:Choice>
  </mc:AlternateContent>
  <bookViews>
    <workbookView xWindow="930" yWindow="0" windowWidth="12285" windowHeight="7035" firstSheet="1" activeTab="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62913"/>
</workbook>
</file>

<file path=xl/calcChain.xml><?xml version="1.0" encoding="utf-8"?>
<calcChain xmlns="http://schemas.openxmlformats.org/spreadsheetml/2006/main">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88" i="7"/>
  <c r="B87" i="7"/>
  <c r="J45" i="7"/>
  <c r="K45" i="7" s="1"/>
  <c r="J2" i="7"/>
  <c r="B74" i="7"/>
  <c r="B73" i="7"/>
  <c r="H45" i="7"/>
  <c r="I45" i="7" s="1"/>
  <c r="H2" i="7"/>
  <c r="B71" i="7" s="1"/>
  <c r="B60" i="7"/>
  <c r="B59" i="7"/>
  <c r="F45" i="7"/>
  <c r="G45" i="7" s="1"/>
  <c r="F2" i="7"/>
  <c r="B57" i="7" s="1"/>
  <c r="B44" i="7"/>
  <c r="B43" i="7"/>
  <c r="B46" i="7"/>
  <c r="B45" i="7"/>
  <c r="T45" i="7"/>
  <c r="T2" i="7"/>
  <c r="B72" i="7" l="1"/>
  <c r="B58" i="7"/>
  <c r="X2" i="7"/>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<sst xmlns="http://schemas.openxmlformats.org/spreadsheetml/2006/main" count="286" uniqueCount="198">
  <si>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</si>
  <si>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</si>
  <si>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</si>
  <si>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</si>
  <si>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</si>
  <si>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</si>
  <si>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</si>
  <si>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</si>
  <si>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</si>
  <si>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</si>
  <si>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</si>
  <si>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</si>
  <si>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</si>
  <si>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</si>
  <si>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</si>
  <si>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</si>
  <si>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</si>
  <si>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</si>
  <si>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</si>
  <si>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</si>
  <si>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</si>
  <si>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</si>
  <si>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</si>
  <si>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</si>
  <si>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</si>
  <si>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</si>
  <si>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</si>
  <si>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</si>
  <si>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</si>
  <si>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</si>
  <si>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</si>
  <si>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</si>
  <si>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</si>
  <si>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</si>
  <si>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</si>
  <si>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</si>
  <si>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</si>
  <si>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</si>
  <si>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</si>
  <si>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</si>
  <si>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</si>
  <si>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</si>
  <si>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</si>
  <si>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</si>
  <si>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</si>
  <si>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</si>
  <si>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</si>
  <si>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</si>
  <si>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</si>
  <si>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</si>
  <si>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</si>
  <si>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</si>
  <si>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</si>
  <si>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</si>
  <si>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</si>
  <si>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</si>
  <si>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</si>
  <si>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</si>
  <si>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</si>
  <si>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</si>
  <si>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</si>
  <si>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</si>
  <si>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</si>
  <si>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</si>
  <si>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</si>
  <si>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</si>
  <si>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</si>
  <si>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</si>
  <si>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</si>
  <si>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</si>
  <si>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</si>
  <si>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</si>
  <si>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</si>
  <si>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</si>
  <si>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</si>
  <si>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</si>
  <si>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</si>
  <si>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</si>
  <si>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</si>
  <si>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</si>
  <si>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</si>
  <si>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</si>
  <si>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</si>
  <si>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</si>
  <si>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</si>
  <si>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</si>
  <si>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</si>
  <si>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</si>
  <si>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</si>
  <si>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</si>
  <si>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</si>
  <si>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</si>
  <si>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</si>
  <si>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</si>
  <si>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</si>
  <si>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</si>
  <si>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</si>
  <si>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</si>
  <si>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</si>
  <si>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</si>
  <si>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</si>
  <si>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</si>
  <si>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</si>
  <si>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</si>
  <si>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</si>
  <si>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</si>
  <si>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</si>
  <si>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</si>
  <si>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</si>
  <si>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</si>
  <si>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</si>
  <si>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</si>
  <si>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</si>
  <si>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</si>
  <si>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</si>
  <si>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</si>
  <si>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</si>
  <si>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</si>
  <si>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</si>
  <si>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</si>
  <si>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</si>
  <si>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</si>
  <si>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</si>
  <si>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</si>
  <si>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</si>
  <si>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</si>
  <si>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</si>
  <si>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</si>
  <si>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</si>
  <si>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</si>
  <si>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</si>
  <si>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</si>
  <si>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</si>
  <si>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</si>
  <si>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</si>
  <si>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</si>
  <si>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</si>
  <si>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</si>
  <si>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</si>
  <si>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</si>
  <si>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</si>
  <si>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</si>
  <si>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</si>
  <si>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</si>
  <si>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</si>
  <si>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</si>
  <si>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</si>
  <si>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</si>
  <si>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</si>
  <si>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</si>
  <si>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</si>
  <si>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</si>
  <si>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</si>
  <si>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</si>
  <si>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</si>
  <si>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</si>
  <si>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</si>
  <si>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</si>
  <si>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</si>
  <si>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</si>
  <si>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</si>
  <si>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</si>
  <si>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</si>
  <si>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</si>
  <si>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</si>
  <si>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</si>
  <si>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</si>
  <si>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</si>
  <si>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</si>
  <si>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</si>
  <si>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</si>
  <si>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</si>
  <si>
    <t>Workbook Settings 1</t>
  </si>
  <si>
    <t>Workbook Settings Cell Count</t>
  </si>
  <si>
    <t>Alice</t>
  </si>
  <si>
    <t>Bob</t>
  </si>
  <si>
    <t>Carol</t>
  </si>
  <si>
    <t>Dan</t>
  </si>
  <si>
    <t>Frank</t>
  </si>
  <si>
    <t>Eve</t>
  </si>
  <si>
    <t>Directed</t>
  </si>
  <si>
    <t>Graph History</t>
  </si>
  <si>
    <t>LayoutAlgorithm░The graph was laid out using the Fruchterman-Reingold layout algorithm.▓GraphDirectedness░The graph is directed.</t>
  </si>
  <si>
    <t>Gender</t>
  </si>
  <si>
    <t>F</t>
  </si>
  <si>
    <t>M</t>
  </si>
  <si>
    <t>Graph Type</t>
  </si>
  <si>
    <t>Modularity</t>
  </si>
  <si>
    <t>NodeXL Version</t>
  </si>
  <si>
    <t>Not Applicable</t>
  </si>
  <si>
    <t>1.0.1.418</t>
  </si>
  <si>
    <t>0, 12, 96</t>
  </si>
  <si>
    <t>0, 136, 227</t>
  </si>
  <si>
    <t>Autofill Workbook Results</t>
  </si>
  <si>
    <t>▓0▓0▓0▓True▓Black▓Black▓▓▓0▓0▓0▓0▓0▓False▓▓0▓0▓0▓0▓0▓False▓Gender▓0▓1▓0▓False▓241, 137, 4▓46, 7, 195▓F░M▓In-Degree▓0▓5▓0▓1.5▓10▓False▓▓0▓0▓0▓0▓0▓False▓▓0▓0▓0▓0▓0▓False▓▓0▓0▓0▓0▓0▓False</t>
  </si>
  <si>
    <t>Workbook Settings 2</t>
  </si>
  <si>
    <t>&lt;?xml version="1.0" encoding="utf-8"?&gt;_x000D_
&lt;configuration&gt;_x000D_
  &lt;configSections&gt;_x000D_
    &lt;sectionGroup name="userSettings" type="System.Configuration.UserSettingsGroup, System, Version=2.0.0.0, Culture=neutral, PublicKeyToken=b77a5c561934e089"&gt;_x000D_
      &lt;section name="GraphZoomAndScaleUserSettings" type="System.Configuration.ClientSettingsSection, System, Version=2.0.0.0, Culture=neutral, PublicKeyToken=b77a5c561934e089" allowExeDefinition="MachineToLocalUser" requirePermission="false" /&gt;_x000D_
      &lt;section name="AutoFillUserSettings3" type="System.Configuration.ClientSettingsSection, System, Version=2.0.0.0, Culture=neutral, PublicKeyToken=b77a5c561934e089" allowExeDefinition="MachineToLocalUser" requirePermission="false" /&gt;_x000D_
      &lt;section name="ColumnGroupUserSettings" type="System.Configuration.ClientSettingsSection, System, Version=2.0.0.0, Culture=neutral, PublicKeyToken=b77a5c561934e089" allowExeDefinition="MachineToLocalUser" requirePermission="false" /&gt;_x000D_
      &lt;section name="GraphMetricUserSettings" type="System.Configuration.ClientSettingsSection, System, Version=2.0.0.0, Culture=neutral, PublicKeyToken=b77a5c561934e089" allowExeDefinition="MachineToLocalUser" requirePermission="false" /&gt;_x000D_
      &lt;section name="GeneralUserSettings4" type="System.Configuration.ClientSettingsSection, System, Version=2.0.0.0, Culture=neutral, PublicKeyToken=b77a5c561934e089" allowExeDefinition="MachineToLocalUser" requirePermission="false" /&gt;_x000D_
    &lt;/sectionGroup&gt;_x000D_
  &lt;/configSections&gt;_x000D_
  &lt;userSettings&gt;_x000D_
    &lt;GraphZoomAndScaleUserSettings&gt;_x000D_
      &lt;setting name="GraphScale" serializeAs="String"&gt;_x000D_
        &lt;value&gt;1&lt;/value&gt;_x000D_
      &lt;/setting&gt;_x000D_
    &lt;/GraphZoomAndScaleUserSettings&gt;_x000D_
    &lt;AutoFillUserSettings3&gt;_x000D_
      &lt;setting name="EdgeLabelSourceColumnName" serializeAs="String"&gt;_x000D_
        &lt;value /&gt;_x000D_
      &lt;/setting&gt;_x000D_
      &lt;setting name="VertexLabelPositionDetails" serializeAs="String"&gt;_x000D_
        &lt;value&gt;GreaterThan	0	Bottom Center	Nowhere&lt;/value&gt;_x000D_
      &lt;/setting&gt;_x000D_
      &lt;setting name="VertexYDetails" serializeAs="String"&gt;_x000D_
        &lt;value&gt;False	False	0	0	0	9999	False	False&lt;/value&gt;_x000D_
      &lt;/setting&gt;_x000D_
      &lt;setting name="GroupCollapsedSourceColumnName" serializeAs="String"&gt;_x000D_
        &lt;value /&gt;_x000D_
      &lt;/setting&gt;_x000D_
      &lt;setting name="EdgeWidthSourceColumnName" serializeAs="String"&gt;_x000D_
        &lt;value /&gt;_x000D_
      &lt;/setting&gt;_x000D_
      &lt;setting name="VertexColorSourceColumnName" serializeAs="String"&gt;_x000D_
        &lt;value&gt;Gender&lt;/value&gt;_x000D_
      &lt;/setting&gt;_x000D_
      &lt;setting name="VertexRadiusSourceColumnName" serializeAs="String"&gt;_x000D_
        &lt;value&gt;In-Degree&lt;/value&gt;_x000D_
      &lt;/setting&gt;_x000D_
      &lt;setting name="VertexRadiusDetails" serializeAs="String"&gt;_x000D_
        &lt;value&gt;False	False	1	10	1.5	10	False	False&lt;/value&gt;_x000D_
      &lt;/setting&gt;_x000D_
      &lt;setting name="GroupCollapsedDetails" serializeAs="String"&gt;_x000D_
        &lt;value&gt;GreaterThan	0	Yes	No&lt;/value&gt;_x000D_
      &lt;/setting&gt;_x000D_
      &lt;setting name="VertexXDetails" serializeAs="String"&gt;_x000D_
        &lt;value&gt;False	False	0	0	0	9999	False	False&lt;/value&gt;_x000D_
      &lt;/setting&gt;_x000D_
      &lt;setting name="VertexPolarAngleDetails" serializeAs="String"&gt;_x000D_
        &lt;value&gt;False	False	0	0	0	359	False	False&lt;/value&gt;_x000D_
      &lt;/setting&gt;_x000D_
      &lt;setting name="VertexPolarRSourceColumnName" serializeAs="String"&gt;_x000D_
        &lt;value /&gt;_x000D_
      &lt;/setting&gt;_x000D_
      &lt;setting name="VertexLayoutOrderDetails" serializeAs="String"&gt;_x000D_
        &lt;value&gt;False	False	0	0	1	9999	False	False&lt;/value&gt;_x000D_
      &lt;/setting&gt;_x000D_
      &lt;setting name="EdgeStyleDetails" serializeAs="String"&gt;_x000D_
        &lt;value&gt;GreaterThan	0	Solid	Dash&lt;/value&gt;_x000D_
      &lt;/setting&gt;_x000D_
      &lt;setting name="VertexShapeSourceColumnName" serializeAs="String"&gt;_x000D_
        &lt;value /&gt;_x000D_
      &lt;/setting&gt;_x000D_
      &lt;setting name="VertexAlphaSourceColumnName" serializeAs="String"&gt;_x000D_
        &lt;value /&gt;_x000D_
      &lt;/setting&gt;_x000D_
      &lt;setting name="VertexLayoutOrderSourceColumnName" serializeAs="String"&gt;_x000D_
        &lt;value /&gt;_x000D_
      &lt;/setting&gt;_x000D_
      &lt;setting name="EdgeVisibilityDetails" serializeAs="String"&gt;_x000D_
        &lt;value&gt;GreaterThan	0	Show	Skip&lt;/value&gt;_x000D_
      &lt;/setting&gt;_x000D_
      &lt;setting name="VertexVisibilitySourceColumnName" serializeAs="String"&gt;_x000D_
        &lt;value /&gt;_x000D_
      &lt;/setting&gt;_x000D_
      &lt;setting name="GroupLabelSourceColumnName" serializeAs="String"&gt;_x000D_
        &lt;value /&gt;_x000D_
      &lt;/setting&gt;_x000D_
      &lt;setting name="EdgeColorSourceColumnName" serializeAs="String"&gt;_x000D_
        &lt;value /&gt;_x000D_
      &lt;/setting&gt;_x000D_
      &lt;setting name="VertexLabelSourceColumnName" serializeAs="String"&gt;_x000D_
        &lt;value&gt;Vertex&lt;/value&gt;_x000D_
      &lt;/setting&gt;_x000D_
      &lt;setting name="VertexLabelFillColorSourceColumnName" serializeAs="String"&gt;_x000D_
        &lt;value /&gt;_x000D_
      &lt;/setting&gt;_x000D_
      &lt;setting name="VertexColorDetails" serializeAs="String"&gt;_x000D_
        &lt;value&gt;False	False	0	10	241, 137, 4	46, 7, 195	False	False	False&lt;/value&gt;_x000D_
      &lt;/setting&gt;_x000D_
      &lt;setting name="VertexPolarAngleSourceColumnName" serializeAs="String"&gt;_x000D_
        &lt;value /&gt;_x000D_
      &lt;/setting&gt;_x000D_
      &lt;setting name="VertexPolarRDetails" serializeAs="String"&gt;_x000D_
        &lt;value&gt;False	False	0	0	0	1	False	False&lt;/value&gt;_x000D_
      &lt;/setting&gt;_x000D_
      &lt;setting name="VertexToolTipSourceColumnName" serializeAs="String"&gt;_x000D_
        &lt;value /&gt;_x000D_
      &lt;/setting&gt;_x000D_
      &lt;setting name="EdgeAlphaSourceColumnName" serializeAs="String"&gt;_x000D_
        &lt;value /&gt;_x000D_
      &lt;/setting&gt;_x000D_
      &lt;setting name="VertexLabelPositionSourceColumnName" serializeAs="String"&gt;_x000D_
        &lt;value /&gt;_x000D_
      &lt;/setting&gt;_x000D_
      &lt;setting name="VertexShapeDetails" serializeAs="String"&gt;_x000D_
        &lt;value&gt;GreaterThan	0	Solid Square	Disk&lt;/value&gt;_x000D_
      &lt;/setting&gt;_x000D_
      &lt;setting name="EdgeStyleSourceColumnName" serializeAs="String"&gt;_x000D_
        &lt;value /&gt;_x000D_
      &lt;/setting&gt;_x000D_
      &lt;setting name="VertexLabelFillColorDetails" serializeAs="String"&gt;_x000D_
        &lt;value&gt;False	False	0	10	241, 137, 4	46, 7, 195	False	False	True&lt;/value&gt;_x000D_
      &lt;/setting&gt;_x000D_
      &lt;setting name="VertexYSourceColumnName" serializeAs="String"&gt;_x000D_
        &lt;value /&gt;_x000D_
      &lt;/setting&gt;_x000D_
      &lt;setting name="VertexAlphaDetails" serializeAs="String"&gt;_x000D_
        &lt;value&gt;False	False	0	100	10	100	False	False&lt;/value&gt;_x000D_
      &lt;/setting&gt;_x000D_
      &lt;setting name="</t>
  </si>
  <si>
    <t>EdgeVisibilitySourceColumnName" serializeAs="String"&gt;_x000D_
        &lt;value /&gt;_x000D_
      &lt;/setting&gt;_x000D_
      &lt;setting name="EdgeAlphaDetails" serializeAs="String"&gt;_x000D_
        &lt;value&gt;False	False	0	100	10	100	False	False&lt;/value&gt;_x000D_
      &lt;/setting&gt;_x000D_
      &lt;setting name="VertexVisibilityDetails" serializeAs="String"&gt;_x000D_
        &lt;value&gt;GreaterThan	0	Show if in an Edge	Skip&lt;/value&gt;_x000D_
      &lt;/setting&gt;_x000D_
      &lt;setting name="EdgeWidthDetails" serializeAs="String"&gt;_x000D_
        &lt;value&gt;False	False	1	10	1	10	False	False&lt;/value&gt;_x000D_
      &lt;/setting&gt;_x000D_
      &lt;setting name="VertexXSourceColumnName" serializeAs="String"&gt;_x000D_
        &lt;value /&gt;_x000D_
      &lt;/setting&gt;_x000D_
      &lt;setting name="EdgeColorDetails" serializeAs="String"&gt;_x000D_
        &lt;value&gt;False	False	0	10	241, 137, 4	46, 7, 195	False	False	True&lt;/value&gt;_x000D_
      &lt;/setting&gt;_x000D_
    &lt;/AutoFillUserSettings3&gt;_x000D_
    &lt;ColumnGroupUserSettings&gt;_x000D_
      &lt;setting name="ColumnGroupsToShow" serializeAs="String"&gt;_x000D_
        &lt;value&gt;EdgeDoNotHide, EdgeVisualAttributes, EdgeLabels, EdgeGraphMetrics, EdgeOtherColumns, VertexDoNotHide, VertexVisualAttributes, VertexGraphMetrics, VertexLabels, VertexOtherColumns, GroupDoNotHide, GroupVisualAttributes, GroupLabels, GroupGraphMetrics, GroupEdgeDoNotHide, GroupEdgeGraphMetrics&lt;/value&gt;_x000D_
      &lt;/setting&gt;_x000D_
    &lt;/ColumnGroupUserSettings&gt;_x000D_
    &lt;GraphMetricUserSettings&gt;_x000D_
      &lt;setting name="GraphMetricsToCalculate" serializeAs="String"&gt;_x000D_
        &lt;value&gt;InDegree, OutDegree, OverallMetrics&lt;/value&gt;_x000D_
      &lt;/setting&gt;_x000D_
    &lt;/GraphMetricUserSettings&gt;_x000D_
    &lt;GeneralUserSettings4&gt;_x000D_
      &lt;setting name="NewWorkbookGraphDirectedness" serializeAs="String"&gt;_x000D_
        &lt;value&gt;Directed&lt;/value&gt;_x000D_
      &lt;/setting&gt;_x000D_
      &lt;setting name="ShowGraphLegend" serializeAs="String"&gt;_x000D_
        &lt;value&gt;False&lt;/value&gt;_x000D_
      &lt;/setting&gt;_x000D_
      &lt;setting name="ReadVertexLabels" serializeAs="String"&gt;_x000D_
        &lt;value&gt;True&lt;/value&gt;_x000D_
      &lt;/setting&gt;_x000D_
      &lt;setting name="ReadEdgeLabels" serializeAs="String"&gt;_x000D_
        &lt;value&gt;True&lt;/value&gt;_x000D_
      &lt;/setting&gt;_x000D_
      &lt;setting name="ReadGroupLabels" serializeAs="String"&gt;_x000D_
        &lt;value&gt;True&lt;/value&gt;_x000D_
      &lt;/setting&gt;_x000D_
      &lt;setting name="ShowGraphAxes" serializeAs="String"&gt;_x000D_
        &lt;value&gt;False&lt;/value&gt;_x000D_
      &lt;/setting&gt;_x000D_
    &lt;/GeneralUserSettings4&gt;_x000D_
  &lt;/userSettings&gt;_x000D_
&lt;/configuration&gt;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</si>
</sst>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2">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114">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xf numFmtId="1" fontId="0" fillId="5" borderId="1" xfId="4" applyNumberFormat="1" applyFont="1"/>
    <xf numFmtId="0" fontId="0" fillId="2" borderId="1" xfId="1" applyNumberFormat="1" applyFont="1"/>
    <xf numFmtId="49" fontId="0" fillId="0" borderId="0" xfId="3" applyNumberFormat="1" applyFont="1" applyBorder="1" applyAlignment="1">
      <alignment wrapText="1"/>
    </xf>
    <xf numFmtId="0" fontId="0" fillId="5" borderId="11" xfId="4" applyNumberFormat="1" applyFont="1" applyBorder="1" applyAlignment="1">
      <alignment wrapText="1"/>
    </xf>
    <xf numFmtId="164" fontId="0" fillId="5" borderId="11" xfId="4" applyNumberFormat="1" applyFont="1" applyBorder="1" applyAlignment="1">
      <alignment wrapText="1"/>
    </xf>
    <xf numFmtId="0" fontId="11" fillId="5" borderId="11" xfId="4" applyNumberFormat="1" applyFont="1" applyBorder="1" applyAlignment="1">
      <alignment wrapText="1"/>
    </xf>
    <xf numFmtId="1" fontId="0" fillId="5" borderId="11" xfId="4" applyNumberFormat="1" applyFont="1" applyBorder="1" applyAlignment="1">
      <alignment wrapText="1"/>
    </xf>
    <xf numFmtId="49" fontId="6" fillId="6" borderId="11" xfId="6" applyNumberFormat="1" applyBorder="1" applyAlignment="1">
      <alignment wrapText="1"/>
    </xf>
    <xf numFmtId="0" fontId="6" fillId="6" borderId="11" xfId="6" applyNumberFormat="1" applyBorder="1" applyAlignment="1">
      <alignment wrapText="1"/>
    </xf>
    <xf numFmtId="0" fontId="5" fillId="4" borderId="11" xfId="5" applyNumberFormat="1" applyBorder="1" applyAlignment="1">
      <alignment wrapText="1"/>
    </xf>
    <xf numFmtId="0" fontId="11" fillId="2" borderId="11" xfId="1" applyNumberFormat="1" applyFont="1" applyBorder="1" applyAlignment="1">
      <alignment wrapText="1"/>
    </xf>
    <xf numFmtId="0" fontId="0" fillId="0" borderId="0" xfId="2" applyNumberFormat="1" applyFont="1" applyBorder="1" applyAlignment="1">
      <alignment wrapText="1"/>
    </xf>
    <xf numFmtId="164" fontId="0" fillId="5" borderId="1" xfId="4" applyNumberFormat="1" applyFont="1"/>
    <xf numFmtId="164" fontId="0" fillId="3" borderId="1" xfId="7" applyNumberFormat="1" applyFont="1"/>
    <xf numFmtId="165" fontId="0" fillId="3" borderId="1" xfId="7" applyNumberFormat="1" applyFont="1"/>
    <xf numFmtId="166" fontId="0" fillId="3" borderId="1" xfId="7" applyNumberFormat="1" applyFont="1"/>
    <xf numFmtId="1" fontId="11" fillId="4" borderId="1" xfId="5" applyNumberFormat="1" applyFont="1" applyAlignment="1"/>
    <xf numFmtId="0" fontId="0" fillId="0" borderId="0" xfId="2" applyNumberFormat="1" applyFont="1"/>
    <xf numFmtId="49" fontId="0" fillId="0" borderId="0" xfId="3" applyNumberFormat="1" applyFont="1" applyBorder="1"/>
    <xf numFmtId="0" fontId="0" fillId="5" borderId="11" xfId="4" applyNumberFormat="1" applyFont="1" applyBorder="1"/>
    <xf numFmtId="164" fontId="0" fillId="5" borderId="11" xfId="4" applyNumberFormat="1" applyFont="1" applyBorder="1"/>
    <xf numFmtId="1" fontId="0" fillId="5" borderId="11" xfId="4" applyNumberFormat="1" applyFont="1" applyBorder="1"/>
    <xf numFmtId="49" fontId="6" fillId="6" borderId="11" xfId="6" applyNumberFormat="1" applyBorder="1"/>
    <xf numFmtId="0" fontId="6" fillId="6" borderId="11" xfId="6" applyNumberFormat="1" applyBorder="1"/>
    <xf numFmtId="164" fontId="0" fillId="3" borderId="11" xfId="7" applyNumberFormat="1" applyFont="1" applyBorder="1"/>
    <xf numFmtId="165" fontId="0" fillId="3" borderId="11" xfId="7" applyNumberFormat="1" applyFont="1" applyBorder="1"/>
    <xf numFmtId="0" fontId="0" fillId="3" borderId="11" xfId="7" applyNumberFormat="1" applyFont="1" applyBorder="1"/>
    <xf numFmtId="166" fontId="0" fillId="3" borderId="11" xfId="7" applyNumberFormat="1" applyFont="1" applyBorder="1"/>
    <xf numFmtId="1" fontId="11" fillId="4" borderId="11" xfId="5" applyNumberFormat="1" applyFont="1" applyBorder="1" applyAlignment="1"/>
    <xf numFmtId="167" fontId="11" fillId="4" borderId="11" xfId="5" applyNumberFormat="1" applyFont="1" applyBorder="1" applyAlignment="1"/>
    <xf numFmtId="167" fontId="5" fillId="4" borderId="11" xfId="5" applyNumberFormat="1" applyBorder="1" applyAlignment="1"/>
    <xf numFmtId="0" fontId="0" fillId="2" borderId="11" xfId="1" applyNumberFormat="1" applyFont="1" applyBorder="1"/>
    <xf numFmtId="0" fontId="0" fillId="0" borderId="0" xfId="2" applyNumberFormat="1" applyFont="1" applyBorder="1"/>
    <xf numFmtId="0" fontId="5" fillId="5" borderId="1" xfId="8" applyNumberFormat="1" applyAlignme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9">
    <dxf>
      <numFmt numFmtId="1" formatCode="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border outline="0">
        <left style="thin">
          <color theme="0"/>
        </left>
      </border>
    </dxf>
    <dxf>
      <numFmt numFmtId="1" formatCode="0"/>
      <alignment horizontal="general" vertical="bottom" textRotation="0" wrapText="0" indent="0" justifyLastLine="0" shrinkToFit="0" readingOrder="0"/>
      <border outline="0">
        <right style="thin">
          <color theme="0"/>
        </right>
      </border>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border outline="0">
        <right style="thin">
          <color theme="0"/>
        </right>
      </border>
    </dxf>
    <dxf>
      <alignment horizontal="general" vertical="bottom" textRotation="0" wrapText="0" indent="0" justifyLastLine="0" shrinkToFit="0" readingOrder="0"/>
    </dxf>
    <dxf>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tableStyleElement type="wholeTable" dxfId="98"/>
      <tableStyleElement type="headerRow" dxfId="97"/>
    </tableStyle>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76B5-49AA-876D-6746ED472983}"/>
            </c:ext>
          </c:extLst>
        </c:ser>
        <c:dLbls>
          <c:showLegendKey val="0"/>
          <c:showVal val="0"/>
          <c:showCatName val="0"/>
          <c:showSerName val="0"/>
          <c:showPercent val="0"/>
          <c:showBubbleSize val="0"/>
        </c:dLbls>
        <c:gapWidth val="0"/>
        <c:axId val="-1133292176"/>
        <c:axId val="-1133286192"/>
      </c:barChart>
      <c:catAx>
        <c:axId val="-113329217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33286192"/>
        <c:crosses val="autoZero"/>
        <c:auto val="1"/>
        <c:lblAlgn val="ctr"/>
        <c:lblOffset val="100"/>
        <c:noMultiLvlLbl val="0"/>
      </c:catAx>
      <c:valAx>
        <c:axId val="-1133286192"/>
        <c:scaling>
          <c:orientation val="minMax"/>
        </c:scaling>
        <c:delete val="0"/>
        <c:axPos val="l"/>
        <c:majorGridlines/>
        <c:title>
          <c:tx>
            <c:rich>
              <a:bodyPr rot="-5400000" vert="horz"/>
              <a:lstStyle/>
              <a:p>
                <a:pPr>
                  <a:defRPr/>
                </a:pPr>
                <a:r>
                  <a:rPr lang="en-US"/>
                  <a:t>Frequency</a:t>
                </a:r>
              </a:p>
            </c:rich>
          </c:tx>
          <c:layout/>
          <c:overlay val="0"/>
        </c:title>
        <c:numFmt formatCode="General" sourceLinked="1"/>
        <c:majorTickMark val="out"/>
        <c:minorTickMark val="none"/>
        <c:tickLblPos val="nextTo"/>
        <c:crossAx val="-11332921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2</c:v>
                </c:pt>
              </c:strCache>
            </c:strRef>
          </c:tx>
          <c:spPr>
            <a:solidFill>
              <a:schemeClr val="accent1"/>
            </a:solidFill>
          </c:spPr>
          <c:invertIfNegative val="0"/>
          <c:cat>
            <c:numRef>
              <c:f>'Overall Metrics'!$F$2:$F$45</c:f>
              <c:numCache>
                <c:formatCode>#,##0.00</c:formatCode>
                <c:ptCount val="44"/>
                <c:pt idx="0">
                  <c:v>0</c:v>
                </c:pt>
                <c:pt idx="1">
                  <c:v>0.11627906976744186</c:v>
                </c:pt>
                <c:pt idx="2">
                  <c:v>0.23255813953488372</c:v>
                </c:pt>
                <c:pt idx="3">
                  <c:v>0.34883720930232559</c:v>
                </c:pt>
                <c:pt idx="4">
                  <c:v>0.46511627906976744</c:v>
                </c:pt>
                <c:pt idx="5">
                  <c:v>0.58139534883720934</c:v>
                </c:pt>
                <c:pt idx="6">
                  <c:v>0.69767441860465118</c:v>
                </c:pt>
                <c:pt idx="7">
                  <c:v>0.81395348837209303</c:v>
                </c:pt>
                <c:pt idx="8">
                  <c:v>0.93023255813953487</c:v>
                </c:pt>
                <c:pt idx="9">
                  <c:v>1.0465116279069768</c:v>
                </c:pt>
                <c:pt idx="10">
                  <c:v>1.1627906976744187</c:v>
                </c:pt>
                <c:pt idx="11">
                  <c:v>1.2790697674418605</c:v>
                </c:pt>
                <c:pt idx="12">
                  <c:v>1.3953488372093024</c:v>
                </c:pt>
                <c:pt idx="13">
                  <c:v>1.5116279069767442</c:v>
                </c:pt>
                <c:pt idx="14">
                  <c:v>1.6279069767441861</c:v>
                </c:pt>
                <c:pt idx="15">
                  <c:v>1.7441860465116279</c:v>
                </c:pt>
                <c:pt idx="16">
                  <c:v>1.8604651162790697</c:v>
                </c:pt>
                <c:pt idx="17">
                  <c:v>1.9767441860465116</c:v>
                </c:pt>
                <c:pt idx="18">
                  <c:v>2.0930232558139537</c:v>
                </c:pt>
                <c:pt idx="19">
                  <c:v>2.2093023255813957</c:v>
                </c:pt>
                <c:pt idx="20">
                  <c:v>2.3255813953488378</c:v>
                </c:pt>
                <c:pt idx="21">
                  <c:v>2.4418604651162799</c:v>
                </c:pt>
                <c:pt idx="22">
                  <c:v>2.5581395348837219</c:v>
                </c:pt>
                <c:pt idx="23">
                  <c:v>2.674418604651164</c:v>
                </c:pt>
                <c:pt idx="24">
                  <c:v>2.7906976744186061</c:v>
                </c:pt>
                <c:pt idx="25">
                  <c:v>2.9069767441860481</c:v>
                </c:pt>
                <c:pt idx="26">
                  <c:v>3.0232558139534902</c:v>
                </c:pt>
                <c:pt idx="27">
                  <c:v>3.1395348837209323</c:v>
                </c:pt>
                <c:pt idx="28">
                  <c:v>3.2558139534883743</c:v>
                </c:pt>
                <c:pt idx="29">
                  <c:v>3.3720930232558164</c:v>
                </c:pt>
                <c:pt idx="30">
                  <c:v>3.4883720930232585</c:v>
                </c:pt>
                <c:pt idx="31">
                  <c:v>3.6046511627907005</c:v>
                </c:pt>
                <c:pt idx="32">
                  <c:v>3.7209302325581426</c:v>
                </c:pt>
                <c:pt idx="33">
                  <c:v>3.8372093023255847</c:v>
                </c:pt>
                <c:pt idx="34">
                  <c:v>3.9534883720930267</c:v>
                </c:pt>
                <c:pt idx="35">
                  <c:v>4.0697674418604688</c:v>
                </c:pt>
                <c:pt idx="36">
                  <c:v>4.1860465116279109</c:v>
                </c:pt>
                <c:pt idx="37">
                  <c:v>4.3023255813953529</c:v>
                </c:pt>
                <c:pt idx="38">
                  <c:v>4.418604651162795</c:v>
                </c:pt>
                <c:pt idx="39">
                  <c:v>4.5348837209302371</c:v>
                </c:pt>
                <c:pt idx="40">
                  <c:v>4.6511627906976791</c:v>
                </c:pt>
                <c:pt idx="41">
                  <c:v>4.7674418604651212</c:v>
                </c:pt>
                <c:pt idx="42">
                  <c:v>4.8837209302325633</c:v>
                </c:pt>
                <c:pt idx="43">
                  <c:v>5</c:v>
                </c:pt>
              </c:numCache>
            </c:numRef>
          </c:cat>
          <c:val>
            <c:numRef>
              <c:f>'Overall Metrics'!$G$2:$G$45</c:f>
              <c:numCache>
                <c:formatCode>General</c:formatCode>
                <c:ptCount val="44"/>
                <c:pt idx="0">
                  <c:v>2</c:v>
                </c:pt>
                <c:pt idx="1">
                  <c:v>0</c:v>
                </c:pt>
                <c:pt idx="2">
                  <c:v>0</c:v>
                </c:pt>
                <c:pt idx="3">
                  <c:v>0</c:v>
                </c:pt>
                <c:pt idx="4">
                  <c:v>0</c:v>
                </c:pt>
                <c:pt idx="5">
                  <c:v>0</c:v>
                </c:pt>
                <c:pt idx="6">
                  <c:v>0</c:v>
                </c:pt>
                <c:pt idx="7">
                  <c:v>0</c:v>
                </c:pt>
                <c:pt idx="8">
                  <c:v>2</c:v>
                </c:pt>
                <c:pt idx="9">
                  <c:v>0</c:v>
                </c:pt>
                <c:pt idx="10">
                  <c:v>0</c:v>
                </c:pt>
                <c:pt idx="11">
                  <c:v>0</c:v>
                </c:pt>
                <c:pt idx="12">
                  <c:v>0</c:v>
                </c:pt>
                <c:pt idx="13">
                  <c:v>0</c:v>
                </c:pt>
                <c:pt idx="14">
                  <c:v>0</c:v>
                </c:pt>
                <c:pt idx="15">
                  <c:v>0</c:v>
                </c:pt>
                <c:pt idx="16">
                  <c:v>0</c:v>
                </c:pt>
                <c:pt idx="17">
                  <c:v>1</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c:v>
                </c:pt>
              </c:numCache>
            </c:numRef>
          </c:val>
          <c:extLst>
            <c:ext xmlns:c16="http://schemas.microsoft.com/office/drawing/2014/chart" uri="{C3380CC4-5D6E-409C-BE32-E72D297353CC}">
              <c16:uniqueId val="{00000000-BD6E-45AF-BDD0-52A91E021D3F}"/>
            </c:ext>
          </c:extLst>
        </c:ser>
        <c:dLbls>
          <c:showLegendKey val="0"/>
          <c:showVal val="0"/>
          <c:showCatName val="0"/>
          <c:showSerName val="0"/>
          <c:showPercent val="0"/>
          <c:showBubbleSize val="0"/>
        </c:dLbls>
        <c:gapWidth val="0"/>
        <c:axId val="-1133298704"/>
        <c:axId val="-1133276944"/>
      </c:barChart>
      <c:catAx>
        <c:axId val="-113329870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33276944"/>
        <c:crosses val="autoZero"/>
        <c:auto val="1"/>
        <c:lblAlgn val="ctr"/>
        <c:lblOffset val="100"/>
        <c:noMultiLvlLbl val="0"/>
      </c:catAx>
      <c:valAx>
        <c:axId val="-11332769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87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1</c:v>
                </c:pt>
              </c:strCache>
            </c:strRef>
          </c:tx>
          <c:spPr>
            <a:solidFill>
              <a:schemeClr val="accent1"/>
            </a:solidFill>
          </c:spPr>
          <c:invertIfNegative val="0"/>
          <c:cat>
            <c:numRef>
              <c:f>'Overall Metrics'!$H$2:$H$45</c:f>
              <c:numCache>
                <c:formatCode>#,##0.00</c:formatCode>
                <c:ptCount val="44"/>
                <c:pt idx="0">
                  <c:v>0</c:v>
                </c:pt>
                <c:pt idx="1">
                  <c:v>9.3023255813953487E-2</c:v>
                </c:pt>
                <c:pt idx="2">
                  <c:v>0.18604651162790697</c:v>
                </c:pt>
                <c:pt idx="3">
                  <c:v>0.27906976744186046</c:v>
                </c:pt>
                <c:pt idx="4">
                  <c:v>0.37209302325581395</c:v>
                </c:pt>
                <c:pt idx="5">
                  <c:v>0.46511627906976744</c:v>
                </c:pt>
                <c:pt idx="6">
                  <c:v>0.55813953488372092</c:v>
                </c:pt>
                <c:pt idx="7">
                  <c:v>0.65116279069767447</c:v>
                </c:pt>
                <c:pt idx="8">
                  <c:v>0.7441860465116279</c:v>
                </c:pt>
                <c:pt idx="9">
                  <c:v>0.83720930232558133</c:v>
                </c:pt>
                <c:pt idx="10">
                  <c:v>0.93023255813953476</c:v>
                </c:pt>
                <c:pt idx="11">
                  <c:v>1.0232558139534882</c:v>
                </c:pt>
                <c:pt idx="12">
                  <c:v>1.1162790697674416</c:v>
                </c:pt>
                <c:pt idx="13">
                  <c:v>1.2093023255813951</c:v>
                </c:pt>
                <c:pt idx="14">
                  <c:v>1.3023255813953485</c:v>
                </c:pt>
                <c:pt idx="15">
                  <c:v>1.3953488372093019</c:v>
                </c:pt>
                <c:pt idx="16">
                  <c:v>1.4883720930232553</c:v>
                </c:pt>
                <c:pt idx="17">
                  <c:v>1.5813953488372088</c:v>
                </c:pt>
                <c:pt idx="18">
                  <c:v>1.6744186046511622</c:v>
                </c:pt>
                <c:pt idx="19">
                  <c:v>1.7674418604651156</c:v>
                </c:pt>
                <c:pt idx="20">
                  <c:v>1.8604651162790691</c:v>
                </c:pt>
                <c:pt idx="21">
                  <c:v>1.9534883720930225</c:v>
                </c:pt>
                <c:pt idx="22">
                  <c:v>2.0465116279069759</c:v>
                </c:pt>
                <c:pt idx="23">
                  <c:v>2.1395348837209296</c:v>
                </c:pt>
                <c:pt idx="24">
                  <c:v>2.2325581395348832</c:v>
                </c:pt>
                <c:pt idx="25">
                  <c:v>2.3255813953488369</c:v>
                </c:pt>
                <c:pt idx="26">
                  <c:v>2.4186046511627906</c:v>
                </c:pt>
                <c:pt idx="27">
                  <c:v>2.5116279069767442</c:v>
                </c:pt>
                <c:pt idx="28">
                  <c:v>2.6046511627906979</c:v>
                </c:pt>
                <c:pt idx="29">
                  <c:v>2.6976744186046515</c:v>
                </c:pt>
                <c:pt idx="30">
                  <c:v>2.7906976744186052</c:v>
                </c:pt>
                <c:pt idx="31">
                  <c:v>2.8837209302325588</c:v>
                </c:pt>
                <c:pt idx="32">
                  <c:v>2.9767441860465125</c:v>
                </c:pt>
                <c:pt idx="33">
                  <c:v>3.0697674418604661</c:v>
                </c:pt>
                <c:pt idx="34">
                  <c:v>3.1627906976744198</c:v>
                </c:pt>
                <c:pt idx="35">
                  <c:v>3.2558139534883734</c:v>
                </c:pt>
                <c:pt idx="36">
                  <c:v>3.3488372093023271</c:v>
                </c:pt>
                <c:pt idx="37">
                  <c:v>3.4418604651162807</c:v>
                </c:pt>
                <c:pt idx="38">
                  <c:v>3.5348837209302344</c:v>
                </c:pt>
                <c:pt idx="39">
                  <c:v>3.6279069767441881</c:v>
                </c:pt>
                <c:pt idx="40">
                  <c:v>3.7209302325581417</c:v>
                </c:pt>
                <c:pt idx="41">
                  <c:v>3.8139534883720954</c:v>
                </c:pt>
                <c:pt idx="42">
                  <c:v>3.906976744186049</c:v>
                </c:pt>
                <c:pt idx="43">
                  <c:v>4</c:v>
                </c:pt>
              </c:numCache>
            </c:numRef>
          </c:cat>
          <c:val>
            <c:numRef>
              <c:f>'Overall Metrics'!$I$2:$I$45</c:f>
              <c:numCache>
                <c:formatCode>General</c:formatCode>
                <c:ptCount val="44"/>
                <c:pt idx="0">
                  <c:v>1</c:v>
                </c:pt>
                <c:pt idx="1">
                  <c:v>0</c:v>
                </c:pt>
                <c:pt idx="2">
                  <c:v>0</c:v>
                </c:pt>
                <c:pt idx="3">
                  <c:v>0</c:v>
                </c:pt>
                <c:pt idx="4">
                  <c:v>0</c:v>
                </c:pt>
                <c:pt idx="5">
                  <c:v>0</c:v>
                </c:pt>
                <c:pt idx="6">
                  <c:v>0</c:v>
                </c:pt>
                <c:pt idx="7">
                  <c:v>0</c:v>
                </c:pt>
                <c:pt idx="8">
                  <c:v>0</c:v>
                </c:pt>
                <c:pt idx="9">
                  <c:v>0</c:v>
                </c:pt>
                <c:pt idx="10">
                  <c:v>3</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c:v>
                </c:pt>
              </c:numCache>
            </c:numRef>
          </c:val>
          <c:extLst>
            <c:ext xmlns:c16="http://schemas.microsoft.com/office/drawing/2014/chart" uri="{C3380CC4-5D6E-409C-BE32-E72D297353CC}">
              <c16:uniqueId val="{00000000-507D-4D47-978D-ECA7316F94D9}"/>
            </c:ext>
          </c:extLst>
        </c:ser>
        <c:dLbls>
          <c:showLegendKey val="0"/>
          <c:showVal val="0"/>
          <c:showCatName val="0"/>
          <c:showSerName val="0"/>
          <c:showPercent val="0"/>
          <c:showBubbleSize val="0"/>
        </c:dLbls>
        <c:gapWidth val="0"/>
        <c:axId val="-1133280752"/>
        <c:axId val="-1133280208"/>
      </c:barChart>
      <c:catAx>
        <c:axId val="-1133280752"/>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133280208"/>
        <c:crosses val="autoZero"/>
        <c:auto val="1"/>
        <c:lblAlgn val="ctr"/>
        <c:lblOffset val="100"/>
        <c:noMultiLvlLbl val="0"/>
      </c:catAx>
      <c:valAx>
        <c:axId val="-11332802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075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CB5A-45DD-9505-80CDEB57BE53}"/>
            </c:ext>
          </c:extLst>
        </c:ser>
        <c:dLbls>
          <c:showLegendKey val="0"/>
          <c:showVal val="0"/>
          <c:showCatName val="0"/>
          <c:showSerName val="0"/>
          <c:showPercent val="0"/>
          <c:showBubbleSize val="0"/>
        </c:dLbls>
        <c:gapWidth val="0"/>
        <c:axId val="-1133290544"/>
        <c:axId val="-1133274768"/>
      </c:barChart>
      <c:catAx>
        <c:axId val="-113329054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133274768"/>
        <c:crosses val="autoZero"/>
        <c:auto val="1"/>
        <c:lblAlgn val="ctr"/>
        <c:lblOffset val="100"/>
        <c:noMultiLvlLbl val="0"/>
      </c:catAx>
      <c:valAx>
        <c:axId val="-11332747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054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D964-45FD-B79F-F653C16379CB}"/>
            </c:ext>
          </c:extLst>
        </c:ser>
        <c:dLbls>
          <c:showLegendKey val="0"/>
          <c:showVal val="0"/>
          <c:showCatName val="0"/>
          <c:showSerName val="0"/>
          <c:showPercent val="0"/>
          <c:showBubbleSize val="0"/>
        </c:dLbls>
        <c:gapWidth val="0"/>
        <c:axId val="-1133285648"/>
        <c:axId val="-1133299248"/>
      </c:barChart>
      <c:catAx>
        <c:axId val="-1133285648"/>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133299248"/>
        <c:crosses val="autoZero"/>
        <c:auto val="1"/>
        <c:lblAlgn val="ctr"/>
        <c:lblOffset val="100"/>
        <c:noMultiLvlLbl val="0"/>
      </c:catAx>
      <c:valAx>
        <c:axId val="-11332992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56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1499-4D93-83F0-23971F3A53D3}"/>
            </c:ext>
          </c:extLst>
        </c:ser>
        <c:dLbls>
          <c:showLegendKey val="0"/>
          <c:showVal val="0"/>
          <c:showCatName val="0"/>
          <c:showSerName val="0"/>
          <c:showPercent val="0"/>
          <c:showBubbleSize val="0"/>
        </c:dLbls>
        <c:gapWidth val="0"/>
        <c:axId val="-1133278576"/>
        <c:axId val="-1133288912"/>
      </c:barChart>
      <c:catAx>
        <c:axId val="-113327857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133288912"/>
        <c:crosses val="autoZero"/>
        <c:auto val="1"/>
        <c:lblAlgn val="ctr"/>
        <c:lblOffset val="100"/>
        <c:noMultiLvlLbl val="0"/>
      </c:catAx>
      <c:valAx>
        <c:axId val="-11332889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85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9AE1-4317-A63C-4308D118A990}"/>
            </c:ext>
          </c:extLst>
        </c:ser>
        <c:dLbls>
          <c:showLegendKey val="0"/>
          <c:showVal val="0"/>
          <c:showCatName val="0"/>
          <c:showSerName val="0"/>
          <c:showPercent val="0"/>
          <c:showBubbleSize val="0"/>
        </c:dLbls>
        <c:gapWidth val="0"/>
        <c:axId val="-1133276400"/>
        <c:axId val="-1133297616"/>
      </c:barChart>
      <c:catAx>
        <c:axId val="-1133276400"/>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133297616"/>
        <c:crosses val="autoZero"/>
        <c:auto val="1"/>
        <c:lblAlgn val="ctr"/>
        <c:lblOffset val="100"/>
        <c:noMultiLvlLbl val="0"/>
      </c:catAx>
      <c:valAx>
        <c:axId val="-113329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64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1E55-43B5-A8D7-36AF22860720}"/>
            </c:ext>
          </c:extLst>
        </c:ser>
        <c:dLbls>
          <c:showLegendKey val="0"/>
          <c:showVal val="0"/>
          <c:showCatName val="0"/>
          <c:showSerName val="0"/>
          <c:showPercent val="0"/>
          <c:showBubbleSize val="0"/>
        </c:dLbls>
        <c:gapWidth val="0"/>
        <c:axId val="-1133274224"/>
        <c:axId val="-1133273680"/>
      </c:barChart>
      <c:catAx>
        <c:axId val="-11332742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33273680"/>
        <c:crosses val="autoZero"/>
        <c:auto val="1"/>
        <c:lblAlgn val="ctr"/>
        <c:lblOffset val="100"/>
        <c:noMultiLvlLbl val="0"/>
      </c:catAx>
      <c:valAx>
        <c:axId val="-1133273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42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033C-481B-BF1E-770B78B8E0F4}"/>
            </c:ext>
          </c:extLst>
        </c:ser>
        <c:dLbls>
          <c:showLegendKey val="0"/>
          <c:showVal val="0"/>
          <c:showCatName val="0"/>
          <c:showSerName val="0"/>
          <c:showPercent val="0"/>
          <c:showBubbleSize val="0"/>
        </c:dLbls>
        <c:gapWidth val="0"/>
        <c:axId val="-1133294352"/>
        <c:axId val="-1133287824"/>
      </c:barChart>
      <c:catAx>
        <c:axId val="-1133294352"/>
        <c:scaling>
          <c:orientation val="minMax"/>
        </c:scaling>
        <c:delete val="1"/>
        <c:axPos val="b"/>
        <c:numFmt formatCode="#,##0.00" sourceLinked="1"/>
        <c:majorTickMark val="out"/>
        <c:minorTickMark val="none"/>
        <c:tickLblPos val="none"/>
        <c:crossAx val="-1133287824"/>
        <c:crosses val="autoZero"/>
        <c:auto val="1"/>
        <c:lblAlgn val="ctr"/>
        <c:lblOffset val="100"/>
        <c:noMultiLvlLbl val="0"/>
      </c:catAx>
      <c:valAx>
        <c:axId val="-1133287824"/>
        <c:scaling>
          <c:orientation val="minMax"/>
        </c:scaling>
        <c:delete val="1"/>
        <c:axPos val="l"/>
        <c:numFmt formatCode="General" sourceLinked="1"/>
        <c:majorTickMark val="out"/>
        <c:minorTickMark val="none"/>
        <c:tickLblPos val="none"/>
        <c:crossAx val="-1133294352"/>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11" totalsRowShown="0" headerRowDxfId="95" dataDxfId="94">
  <autoFilter ref="A2:N11"/>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8" totalsRowShown="0" headerRowDxfId="79" dataDxfId="78">
  <autoFilter ref="A2:AC8"/>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3" dataCellStyle="NodeXL Graph Metric"/>
    <tableColumn id="22" name="In-Degree" dataDxfId="2" dataCellStyle="NodeXL Graph Metric"/>
    <tableColumn id="23" name="Out-Degree" dataDxfId="0" dataCellStyle="NodeXL Graph Metric"/>
    <tableColumn id="24" name="Betweenness Centrality" dataDxfId="1" dataCellStyle="NodeXL Graph Metric"/>
    <tableColumn id="25" name="Closeness Centrality" dataDxfId="60" dataCellStyle="NodeXL Graph Metric"/>
    <tableColumn id="26" name="Eigenvector Centrality" dataDxfId="59" dataCellStyle="NodeXL Graph Metric"/>
    <tableColumn id="15" name="PageRank" dataDxfId="58" dataCellStyle="NodeXL Graph Metric"/>
    <tableColumn id="27" name="Clustering Coefficient" dataDxfId="57" dataCellStyle="NodeXL Graph Metric"/>
    <tableColumn id="29" name="Reciprocated Vertex Pair Ratio" dataDxfId="56" dataCellStyle="NodeXL Graph Metric"/>
    <tableColumn id="11" name="ID" dataDxfId="55" dataCellStyle="NodeXL Do Not Edit"/>
    <tableColumn id="28" name="Dynamic Filter" dataDxfId="54" dataCellStyle="NodeXL Do Not Edit"/>
    <tableColumn id="17" name="Gender" dataDxfId="53"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52">
  <autoFilter ref="A2:X3"/>
  <tableColumns count="24">
    <tableColumn id="1" name="Group" dataDxfId="51" dataCellStyle="NodeXL Required"/>
    <tableColumn id="2" name="Vertex Color" dataDxfId="50" dataCellStyle="NodeXL Visual Property"/>
    <tableColumn id="3" name="Vertex Shape" dataDxfId="49" dataCellStyle="NodeXL Visual Property"/>
    <tableColumn id="22" name="Visibility" dataDxfId="48" dataCellStyle="NodeXL Visual Property"/>
    <tableColumn id="4" name="Collapsed?" dataCellStyle="NodeXL Visual Property"/>
    <tableColumn id="18" name="Label" dataDxfId="47" dataCellStyle="NodeXL Label"/>
    <tableColumn id="20" name="Collapsed X" dataCellStyle="NodeXL Layout"/>
    <tableColumn id="21" name="Collapsed Y" dataCellStyle="NodeXL Layout"/>
    <tableColumn id="6" name="ID" dataDxfId="46" dataCellStyle="NodeXL Do Not Edit"/>
    <tableColumn id="19" name="Collapsed Properties" dataDxfId="45" dataCellStyle="NodeXL Do Not Edit"/>
    <tableColumn id="5" name="Vertices" dataDxfId="44" dataCellStyle="NodeXL Graph Metric"/>
    <tableColumn id="7" name="Unique Edges" dataDxfId="43" dataCellStyle="NodeXL Graph Metric"/>
    <tableColumn id="8" name="Edges With Duplicates" dataDxfId="42" dataCellStyle="NodeXL Graph Metric"/>
    <tableColumn id="9" name="Total Edges" dataDxfId="41" dataCellStyle="NodeXL Graph Metric"/>
    <tableColumn id="10" name="Self-Loops" dataDxfId="40" dataCellStyle="NodeXL Graph Metric"/>
    <tableColumn id="24" name="Reciprocated Vertex Pair Ratio" dataDxfId="39" dataCellStyle="NodeXL Graph Metric"/>
    <tableColumn id="25" name="Reciprocated Edge Ratio" dataDxfId="38" dataCellStyle="NodeXL Graph Metric"/>
    <tableColumn id="11" name="Connected Components" dataDxfId="37" dataCellStyle="NodeXL Graph Metric"/>
    <tableColumn id="12" name="Single-Vertex Connected Components" dataDxfId="36" dataCellStyle="NodeXL Graph Metric"/>
    <tableColumn id="13" name="Maximum Vertices in a Connected Component" dataDxfId="35" dataCellStyle="NodeXL Graph Metric"/>
    <tableColumn id="14" name="Maximum Edges in a Connected Component" dataDxfId="34" dataCellStyle="NodeXL Graph Metric"/>
    <tableColumn id="15" name="Maximum Geodesic Distance (Diameter)" dataDxfId="33" dataCellStyle="NodeXL Graph Metric"/>
    <tableColumn id="16" name="Average Geodesic Distance" dataDxfId="32" dataCellStyle="NodeXL Graph Metric"/>
    <tableColumn id="17" name="Graph Density" dataDxfId="31"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30" dataDxfId="29">
  <autoFilter ref="A1:C2"/>
  <tableColumns count="3">
    <tableColumn id="1" name="Group" dataDxfId="28"/>
    <tableColumn id="2" name="Vertex" dataDxfId="27"/>
    <tableColumn id="3" name="Vertex ID" dataDxfId="26"/>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5" dataCellStyle="NodeXL Graph Metric"/>
    <tableColumn id="2" name="Value" dataDxfId="4"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25"/>
    <tableColumn id="2" name="Degree Frequency" dataDxfId="24">
      <calculatedColumnFormula>COUNTIF(Vertices[Degree], "&gt;= " &amp; D2) - COUNTIF(Vertices[Degree], "&gt;=" &amp; D3)</calculatedColumnFormula>
    </tableColumn>
    <tableColumn id="3" name="In-Degree Bin" dataDxfId="23"/>
    <tableColumn id="4" name="In-Degree Frequency" dataDxfId="22">
      <calculatedColumnFormula>COUNTIF(Vertices[In-Degree], "&gt;= " &amp; F2) - COUNTIF(Vertices[In-Degree], "&gt;=" &amp; F3)</calculatedColumnFormula>
    </tableColumn>
    <tableColumn id="5" name="Out-Degree Bin" dataDxfId="21"/>
    <tableColumn id="6" name="Out-Degree Frequency" dataDxfId="20">
      <calculatedColumnFormula>COUNTIF(Vertices[Out-Degree], "&gt;= " &amp; H2) - COUNTIF(Vertices[Out-Degree], "&gt;=" &amp; H3)</calculatedColumnFormula>
    </tableColumn>
    <tableColumn id="7" name="Betweenness Centrality Bin" dataDxfId="19"/>
    <tableColumn id="8" name="Betweenness Centrality Frequency" dataDxfId="18">
      <calculatedColumnFormula>COUNTIF(Vertices[Betweenness Centrality], "&gt;= " &amp; J2) - COUNTIF(Vertices[Betweenness Centrality], "&gt;=" &amp; J3)</calculatedColumnFormula>
    </tableColumn>
    <tableColumn id="9" name="Closeness Centrality Bin" dataDxfId="17"/>
    <tableColumn id="10" name="Closeness Centrality Frequency" dataDxfId="16">
      <calculatedColumnFormula>COUNTIF(Vertices[Closeness Centrality], "&gt;= " &amp; L2) - COUNTIF(Vertices[Closeness Centrality], "&gt;=" &amp; L3)</calculatedColumnFormula>
    </tableColumn>
    <tableColumn id="11" name="Eigenvector Centrality Bin" dataDxfId="15"/>
    <tableColumn id="12" name="Eigenvector Centrality Frequency" dataDxfId="14">
      <calculatedColumnFormula>COUNTIF(Vertices[Eigenvector Centrality], "&gt;= " &amp; N2) - COUNTIF(Vertices[Eigenvector Centrality], "&gt;=" &amp; N3)</calculatedColumnFormula>
    </tableColumn>
    <tableColumn id="18" name="PageRank Bin" dataDxfId="13"/>
    <tableColumn id="17" name="PageRank Frequency" dataDxfId="12">
      <calculatedColumnFormula>COUNTIF(Vertices[Eigenvector Centrality], "&gt;= " &amp; P2) - COUNTIF(Vertices[Eigenvector Centrality], "&gt;=" &amp; P3)</calculatedColumnFormula>
    </tableColumn>
    <tableColumn id="13" name="Clustering Coefficient Bin" dataDxfId="11"/>
    <tableColumn id="14" name="Clustering Coefficient Frequency" dataDxfId="10">
      <calculatedColumnFormula>COUNTIF(Vertices[Clustering Coefficient], "&gt;= " &amp; R2) - COUNTIF(Vertices[Clustering Coefficient], "&gt;=" &amp; R3)</calculatedColumnFormula>
    </tableColumn>
    <tableColumn id="15" name="Dynamic Filter Bin" dataDxfId="9"/>
    <tableColumn id="16" name="Dynamic Filter Frequency" dataDxfId="8">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9" totalsRowShown="0" headerRowDxfId="7">
  <autoFilter ref="J1:K9"/>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6">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workbookViewId="0">
      <pane xSplit="2" ySplit="2" topLeftCell="C3" activePane="bottomRight" state="frozen"/>
      <selection pane="topRight" activeCell="C1" sqref="C1"/>
      <selection pane="bottomLeft" activeCell="A3" sqref="A3"/>
      <selection pane="bottomRight" activeCell="A8" sqref="A8:N11 A6:N6"/>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customWidth="1"/>
    <col min="12" max="12" width="11" hidden="1" customWidth="1"/>
    <col min="13" max="13" width="10.85546875" hidden="1" customWidth="1"/>
    <col min="14" max="14" width="16" bestFit="1" customWidth="1"/>
  </cols>
  <sheetData>
    <row r="1" spans="1:14" x14ac:dyDescent="0.25">
      <c r="C1" s="18" t="s">
        <v>39</v>
      </c>
      <c r="D1" s="19"/>
      <c r="E1" s="19"/>
      <c r="F1" s="19"/>
      <c r="G1" s="18"/>
      <c r="H1" s="16" t="s">
        <v>43</v>
      </c>
      <c r="I1" s="66"/>
      <c r="J1" s="66"/>
      <c r="K1" s="35" t="s">
        <v>42</v>
      </c>
      <c r="L1" s="20" t="s">
        <v>40</v>
      </c>
      <c r="M1" s="20"/>
      <c r="N1" s="17" t="s">
        <v>41</v>
      </c>
    </row>
    <row r="2" spans="1:14" ht="30" customHeight="1" x14ac:dyDescent="0.25">
      <c r="A2" s="11" t="s">
        <v>0</v>
      </c>
      <c r="B2" s="11" t="s">
        <v>1</v>
      </c>
      <c r="C2" s="13" t="s">
        <v>2</v>
      </c>
      <c r="D2" s="13" t="s">
        <v>3</v>
      </c>
      <c r="E2" s="13" t="s">
        <v>130</v>
      </c>
      <c r="F2" s="13" t="s">
        <v>4</v>
      </c>
      <c r="G2" s="13" t="s">
        <v>11</v>
      </c>
      <c r="H2" s="11" t="s">
        <v>46</v>
      </c>
      <c r="I2" s="13" t="s">
        <v>160</v>
      </c>
      <c r="J2" s="13" t="s">
        <v>161</v>
      </c>
      <c r="K2" s="13" t="s">
        <v>165</v>
      </c>
      <c r="L2" s="13" t="s">
        <v>12</v>
      </c>
      <c r="M2" s="13" t="s">
        <v>38</v>
      </c>
      <c r="N2" s="13" t="s">
        <v>26</v>
      </c>
    </row>
    <row r="3" spans="1:14" ht="15" customHeight="1" x14ac:dyDescent="0.25">
      <c r="A3" s="50" t="s">
        <v>174</v>
      </c>
      <c r="B3" s="50" t="s">
        <v>175</v>
      </c>
      <c r="C3" s="54"/>
      <c r="D3" s="55"/>
      <c r="E3" s="67"/>
      <c r="F3" s="56"/>
      <c r="G3" s="54"/>
      <c r="H3" s="58"/>
      <c r="I3" s="57"/>
      <c r="J3" s="57"/>
      <c r="K3" s="69"/>
      <c r="L3" s="63">
        <v>3</v>
      </c>
      <c r="M3" s="63"/>
      <c r="N3" s="64"/>
    </row>
    <row r="4" spans="1:14" ht="15" customHeight="1" x14ac:dyDescent="0.25">
      <c r="A4" s="82" t="s">
        <v>174</v>
      </c>
      <c r="B4" s="82" t="s">
        <v>176</v>
      </c>
      <c r="C4" s="83"/>
      <c r="D4" s="84"/>
      <c r="E4" s="85"/>
      <c r="F4" s="86"/>
      <c r="G4" s="83"/>
      <c r="H4" s="87"/>
      <c r="I4" s="88"/>
      <c r="J4" s="88"/>
      <c r="K4" s="89"/>
      <c r="L4" s="90">
        <v>4</v>
      </c>
      <c r="M4" s="90"/>
      <c r="N4" s="91"/>
    </row>
    <row r="5" spans="1:14" x14ac:dyDescent="0.25">
      <c r="A5" s="82" t="s">
        <v>174</v>
      </c>
      <c r="B5" s="82" t="s">
        <v>177</v>
      </c>
      <c r="C5" s="83"/>
      <c r="D5" s="84"/>
      <c r="E5" s="85"/>
      <c r="F5" s="86"/>
      <c r="G5" s="83"/>
      <c r="H5" s="87"/>
      <c r="I5" s="88"/>
      <c r="J5" s="88"/>
      <c r="K5" s="89"/>
      <c r="L5" s="90">
        <v>5</v>
      </c>
      <c r="M5" s="90"/>
      <c r="N5" s="91"/>
    </row>
    <row r="6" spans="1:14" x14ac:dyDescent="0.25">
      <c r="A6" s="82" t="s">
        <v>174</v>
      </c>
      <c r="B6" s="82" t="s">
        <v>178</v>
      </c>
      <c r="C6" s="83"/>
      <c r="D6" s="84"/>
      <c r="E6" s="85"/>
      <c r="F6" s="86"/>
      <c r="G6" s="83"/>
      <c r="H6" s="87"/>
      <c r="I6" s="88"/>
      <c r="J6" s="88"/>
      <c r="K6" s="89"/>
      <c r="L6" s="90">
        <v>6</v>
      </c>
      <c r="M6" s="90"/>
      <c r="N6" s="91"/>
    </row>
    <row r="7" spans="1:14" x14ac:dyDescent="0.25">
      <c r="A7" s="82" t="s">
        <v>175</v>
      </c>
      <c r="B7" s="82" t="s">
        <v>177</v>
      </c>
      <c r="C7" s="83"/>
      <c r="D7" s="84"/>
      <c r="E7" s="85"/>
      <c r="F7" s="86"/>
      <c r="G7" s="83"/>
      <c r="H7" s="87"/>
      <c r="I7" s="88"/>
      <c r="J7" s="88"/>
      <c r="K7" s="89"/>
      <c r="L7" s="90">
        <v>7</v>
      </c>
      <c r="M7" s="90"/>
      <c r="N7" s="91"/>
    </row>
    <row r="8" spans="1:14" x14ac:dyDescent="0.25">
      <c r="A8" s="82" t="s">
        <v>175</v>
      </c>
      <c r="B8" s="82" t="s">
        <v>178</v>
      </c>
      <c r="C8" s="83"/>
      <c r="D8" s="84"/>
      <c r="E8" s="85"/>
      <c r="F8" s="86"/>
      <c r="G8" s="83"/>
      <c r="H8" s="87"/>
      <c r="I8" s="88"/>
      <c r="J8" s="88"/>
      <c r="K8" s="89"/>
      <c r="L8" s="90">
        <v>8</v>
      </c>
      <c r="M8" s="90"/>
      <c r="N8" s="91"/>
    </row>
    <row r="9" spans="1:14" x14ac:dyDescent="0.25">
      <c r="A9" s="82" t="s">
        <v>176</v>
      </c>
      <c r="B9" s="82" t="s">
        <v>178</v>
      </c>
      <c r="C9" s="83"/>
      <c r="D9" s="84"/>
      <c r="E9" s="85"/>
      <c r="F9" s="86"/>
      <c r="G9" s="83"/>
      <c r="H9" s="87"/>
      <c r="I9" s="88"/>
      <c r="J9" s="88"/>
      <c r="K9" s="89"/>
      <c r="L9" s="90">
        <v>9</v>
      </c>
      <c r="M9" s="90"/>
      <c r="N9" s="91"/>
    </row>
    <row r="10" spans="1:14" x14ac:dyDescent="0.25">
      <c r="A10" s="82" t="s">
        <v>177</v>
      </c>
      <c r="B10" s="82" t="s">
        <v>178</v>
      </c>
      <c r="C10" s="83"/>
      <c r="D10" s="84"/>
      <c r="E10" s="85"/>
      <c r="F10" s="86"/>
      <c r="G10" s="83"/>
      <c r="H10" s="87"/>
      <c r="I10" s="88"/>
      <c r="J10" s="88"/>
      <c r="K10" s="89"/>
      <c r="L10" s="90">
        <v>10</v>
      </c>
      <c r="M10" s="90"/>
      <c r="N10" s="91"/>
    </row>
    <row r="11" spans="1:14" x14ac:dyDescent="0.25">
      <c r="A11" s="82" t="s">
        <v>179</v>
      </c>
      <c r="B11" s="82" t="s">
        <v>178</v>
      </c>
      <c r="C11" s="83"/>
      <c r="D11" s="84"/>
      <c r="E11" s="85"/>
      <c r="F11" s="86"/>
      <c r="G11" s="83"/>
      <c r="H11" s="87"/>
      <c r="I11" s="88"/>
      <c r="J11" s="88"/>
      <c r="K11" s="89"/>
      <c r="L11" s="90">
        <v>11</v>
      </c>
      <c r="M11" s="90"/>
      <c r="N11" s="91"/>
    </row>
    <row r="23" spans="13:13" x14ac:dyDescent="0.25">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1"/>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M11"/>
    <dataValidation allowBlank="1" showErrorMessage="1" sqref="N2:N11"/>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1"/>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1"/>
    <dataValidation allowBlank="1" showInputMessage="1" promptTitle="Edge Color" prompt="To select an optional edge color, right-click and select Select Color on the right-click menu." sqref="C3:C11"/>
    <dataValidation allowBlank="1" showInputMessage="1" errorTitle="Invalid Edge Width" error="The optional edge width must be a whole number between 1 and 10." promptTitle="Edge Width" prompt="Enter an optional edge width between 1 and 10." sqref="D3:D11"/>
    <dataValidation allowBlank="1" showInputMessage="1" errorTitle="Invalid Edge Opacity" error="The optional edge opacity must be a whole number between 0 and 10." promptTitle="Edge Opacity" prompt="Enter an optional edge opacity between 0 (transparent) and 100 (opaque)." sqref="F3:F11"/>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G11">
      <formula1>ValidEdgeVisibilities</formula1>
    </dataValidation>
    <dataValidation allowBlank="1" showInputMessage="1" showErrorMessage="1" promptTitle="Vertex 1 Name" prompt="Enter the name of the edge's first vertex." sqref="A3:A11"/>
    <dataValidation allowBlank="1" showInputMessage="1" showErrorMessage="1" promptTitle="Vertex 2 Name" prompt="Enter the name of the edge's second vertex." sqref="B3:B11"/>
    <dataValidation allowBlank="1" showInputMessage="1" showErrorMessage="1" errorTitle="Invalid Edge Visibility" error="You have entered an unrecognized edge visibility.  Try selecting from the drop-down list instead." promptTitle="Edge Label" prompt="Enter an optional edge label." sqref="H3:H11"/>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E11">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K11"/>
  </dataValidations>
  <pageMargins left="0.7" right="0.7" top="0.75" bottom="0.75" header="0.3" footer="0.3"/>
  <pageSetup orientation="portrait"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8"/>
  <sheetViews>
    <sheetView workbookViewId="0">
      <pane xSplit="1" ySplit="2" topLeftCell="B3" activePane="bottomRight" state="frozen"/>
      <selection pane="topRight" activeCell="B1" sqref="B1"/>
      <selection pane="bottomLeft" activeCell="A3" sqref="A3"/>
      <selection pane="bottomRight" activeCell="AC9" sqref="AC9"/>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customWidth="1"/>
    <col min="19" max="19" width="9.28515625" customWidth="1"/>
    <col min="20" max="20" width="9.5703125" customWidth="1"/>
    <col min="21" max="23" width="14.28515625" customWidth="1"/>
    <col min="24" max="24" width="11.85546875" customWidth="1"/>
    <col min="25" max="25" width="14.42578125" customWidth="1"/>
    <col min="26" max="26" width="18.28515625"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x14ac:dyDescent="0.25">
      <c r="B1" s="25" t="s">
        <v>39</v>
      </c>
      <c r="C1" s="18"/>
      <c r="D1" s="18"/>
      <c r="E1" s="18"/>
      <c r="F1" s="18"/>
      <c r="G1" s="18"/>
      <c r="H1" s="27" t="s">
        <v>43</v>
      </c>
      <c r="I1" s="26"/>
      <c r="J1" s="26"/>
      <c r="K1" s="26"/>
      <c r="L1" s="29" t="s">
        <v>44</v>
      </c>
      <c r="M1" s="28"/>
      <c r="N1" s="28"/>
      <c r="O1" s="28"/>
      <c r="P1" s="28"/>
      <c r="Q1" s="28"/>
      <c r="R1" s="24" t="s">
        <v>42</v>
      </c>
      <c r="S1" s="21"/>
      <c r="T1" s="22"/>
      <c r="U1" s="23"/>
      <c r="V1" s="21"/>
      <c r="W1" s="21"/>
      <c r="X1" s="21"/>
      <c r="Y1" s="21"/>
      <c r="Z1" s="21"/>
      <c r="AA1" s="30" t="s">
        <v>40</v>
      </c>
      <c r="AB1" s="20"/>
      <c r="AC1" s="31" t="s">
        <v>41</v>
      </c>
      <c r="AD1"/>
      <c r="AE1"/>
      <c r="AF1"/>
      <c r="AG1"/>
      <c r="AH1"/>
    </row>
    <row r="2" spans="1:34" ht="30" customHeight="1" x14ac:dyDescent="0.25">
      <c r="A2" s="11" t="s">
        <v>5</v>
      </c>
      <c r="B2" s="8" t="s">
        <v>2</v>
      </c>
      <c r="C2" s="8" t="s">
        <v>8</v>
      </c>
      <c r="D2" s="9" t="s">
        <v>45</v>
      </c>
      <c r="E2" s="10" t="s">
        <v>4</v>
      </c>
      <c r="F2" s="8" t="s">
        <v>48</v>
      </c>
      <c r="G2" s="8" t="s">
        <v>11</v>
      </c>
      <c r="H2" s="8" t="s">
        <v>46</v>
      </c>
      <c r="I2" s="8" t="s">
        <v>47</v>
      </c>
      <c r="J2" s="8" t="s">
        <v>77</v>
      </c>
      <c r="K2" s="8" t="s">
        <v>10</v>
      </c>
      <c r="L2" s="8" t="s">
        <v>27</v>
      </c>
      <c r="M2" s="8" t="s">
        <v>15</v>
      </c>
      <c r="N2" s="8" t="s">
        <v>16</v>
      </c>
      <c r="O2" s="8" t="s">
        <v>13</v>
      </c>
      <c r="P2" s="8" t="s">
        <v>28</v>
      </c>
      <c r="Q2" s="8" t="s">
        <v>29</v>
      </c>
      <c r="R2" s="13" t="s">
        <v>31</v>
      </c>
      <c r="S2" s="13" t="s">
        <v>32</v>
      </c>
      <c r="T2" s="13" t="s">
        <v>33</v>
      </c>
      <c r="U2" s="13" t="s">
        <v>34</v>
      </c>
      <c r="V2" s="13" t="s">
        <v>35</v>
      </c>
      <c r="W2" s="13" t="s">
        <v>36</v>
      </c>
      <c r="X2" s="13" t="s">
        <v>137</v>
      </c>
      <c r="Y2" s="13" t="s">
        <v>37</v>
      </c>
      <c r="Z2" s="13" t="s">
        <v>170</v>
      </c>
      <c r="AA2" s="11" t="s">
        <v>12</v>
      </c>
      <c r="AB2" s="11" t="s">
        <v>38</v>
      </c>
      <c r="AC2" s="8" t="s">
        <v>183</v>
      </c>
      <c r="AD2" s="3"/>
      <c r="AF2"/>
      <c r="AG2"/>
      <c r="AH2"/>
    </row>
    <row r="3" spans="1:34" ht="15" customHeight="1" x14ac:dyDescent="0.25">
      <c r="A3" s="50" t="s">
        <v>174</v>
      </c>
      <c r="B3" s="54" t="s">
        <v>191</v>
      </c>
      <c r="C3" s="54"/>
      <c r="D3" s="55">
        <v>1.5</v>
      </c>
      <c r="E3" s="56"/>
      <c r="F3" s="54"/>
      <c r="G3" s="54"/>
      <c r="H3" s="58" t="s">
        <v>174</v>
      </c>
      <c r="I3" s="57"/>
      <c r="J3" s="57"/>
      <c r="K3" s="58"/>
      <c r="L3" s="60"/>
      <c r="M3" s="61">
        <v>5738.33154296875</v>
      </c>
      <c r="N3" s="61">
        <v>9877.7021484375</v>
      </c>
      <c r="O3" s="59"/>
      <c r="P3" s="62"/>
      <c r="Q3" s="62"/>
      <c r="R3" s="51"/>
      <c r="S3" s="51">
        <v>0</v>
      </c>
      <c r="T3" s="51">
        <v>4</v>
      </c>
      <c r="U3" s="51"/>
      <c r="V3" s="52"/>
      <c r="W3" s="52"/>
      <c r="X3" s="53"/>
      <c r="Y3" s="52"/>
      <c r="Z3" s="52"/>
      <c r="AA3" s="63">
        <v>3</v>
      </c>
      <c r="AB3" s="63"/>
      <c r="AC3" s="64" t="s">
        <v>184</v>
      </c>
      <c r="AD3" s="3"/>
      <c r="AF3"/>
      <c r="AG3"/>
      <c r="AH3"/>
    </row>
    <row r="4" spans="1:34" x14ac:dyDescent="0.25">
      <c r="A4" s="14" t="s">
        <v>175</v>
      </c>
      <c r="B4" s="15" t="s">
        <v>192</v>
      </c>
      <c r="C4" s="15"/>
      <c r="D4" s="92">
        <v>3.2</v>
      </c>
      <c r="E4" s="80"/>
      <c r="F4" s="15"/>
      <c r="G4" s="15"/>
      <c r="H4" s="16" t="s">
        <v>175</v>
      </c>
      <c r="I4" s="68"/>
      <c r="J4" s="68"/>
      <c r="K4" s="16"/>
      <c r="L4" s="93"/>
      <c r="M4" s="94">
        <v>8634.7626953125</v>
      </c>
      <c r="N4" s="94">
        <v>2735.9658203125</v>
      </c>
      <c r="O4" s="79"/>
      <c r="P4" s="95"/>
      <c r="Q4" s="95"/>
      <c r="R4" s="96"/>
      <c r="S4" s="51">
        <v>1</v>
      </c>
      <c r="T4" s="51">
        <v>2</v>
      </c>
      <c r="U4" s="96"/>
      <c r="V4" s="53"/>
      <c r="W4" s="53"/>
      <c r="X4" s="53"/>
      <c r="Y4" s="53"/>
      <c r="Z4" s="52"/>
      <c r="AA4" s="81">
        <v>4</v>
      </c>
      <c r="AB4" s="81"/>
      <c r="AC4" s="97" t="s">
        <v>185</v>
      </c>
    </row>
    <row r="5" spans="1:34" x14ac:dyDescent="0.25">
      <c r="A5" s="14" t="s">
        <v>176</v>
      </c>
      <c r="B5" s="15" t="s">
        <v>191</v>
      </c>
      <c r="C5" s="15"/>
      <c r="D5" s="92">
        <v>3.2</v>
      </c>
      <c r="E5" s="80"/>
      <c r="F5" s="15"/>
      <c r="G5" s="15"/>
      <c r="H5" s="16" t="s">
        <v>176</v>
      </c>
      <c r="I5" s="68"/>
      <c r="J5" s="68"/>
      <c r="K5" s="16"/>
      <c r="L5" s="93"/>
      <c r="M5" s="94">
        <v>9884.0595703125</v>
      </c>
      <c r="N5" s="94">
        <v>8266.984375</v>
      </c>
      <c r="O5" s="79"/>
      <c r="P5" s="95"/>
      <c r="Q5" s="95"/>
      <c r="R5" s="96"/>
      <c r="S5" s="51">
        <v>1</v>
      </c>
      <c r="T5" s="51">
        <v>1</v>
      </c>
      <c r="U5" s="96"/>
      <c r="V5" s="53"/>
      <c r="W5" s="53"/>
      <c r="X5" s="53"/>
      <c r="Y5" s="53"/>
      <c r="Z5" s="52"/>
      <c r="AA5" s="81">
        <v>5</v>
      </c>
      <c r="AB5" s="81"/>
      <c r="AC5" s="97" t="s">
        <v>184</v>
      </c>
    </row>
    <row r="6" spans="1:34" x14ac:dyDescent="0.25">
      <c r="A6" s="14" t="s">
        <v>177</v>
      </c>
      <c r="B6" s="15" t="s">
        <v>192</v>
      </c>
      <c r="C6" s="15"/>
      <c r="D6" s="92">
        <v>4.9000000000000004</v>
      </c>
      <c r="E6" s="80"/>
      <c r="F6" s="15"/>
      <c r="G6" s="15"/>
      <c r="H6" s="16" t="s">
        <v>177</v>
      </c>
      <c r="I6" s="68"/>
      <c r="J6" s="68"/>
      <c r="K6" s="16"/>
      <c r="L6" s="93"/>
      <c r="M6" s="94">
        <v>4508.3935546875</v>
      </c>
      <c r="N6" s="94">
        <v>154.3887939453125</v>
      </c>
      <c r="O6" s="79"/>
      <c r="P6" s="95"/>
      <c r="Q6" s="95"/>
      <c r="R6" s="96"/>
      <c r="S6" s="51">
        <v>2</v>
      </c>
      <c r="T6" s="51">
        <v>1</v>
      </c>
      <c r="U6" s="96"/>
      <c r="V6" s="53"/>
      <c r="W6" s="53"/>
      <c r="X6" s="53"/>
      <c r="Y6" s="53"/>
      <c r="Z6" s="52"/>
      <c r="AA6" s="81">
        <v>6</v>
      </c>
      <c r="AB6" s="81"/>
      <c r="AC6" s="97" t="s">
        <v>185</v>
      </c>
    </row>
    <row r="7" spans="1:34" x14ac:dyDescent="0.25">
      <c r="A7" s="14" t="s">
        <v>178</v>
      </c>
      <c r="B7" s="15" t="s">
        <v>192</v>
      </c>
      <c r="C7" s="15"/>
      <c r="D7" s="92">
        <v>10</v>
      </c>
      <c r="E7" s="80"/>
      <c r="F7" s="15"/>
      <c r="G7" s="15"/>
      <c r="H7" s="16" t="s">
        <v>178</v>
      </c>
      <c r="I7" s="68"/>
      <c r="J7" s="68"/>
      <c r="K7" s="16"/>
      <c r="L7" s="93"/>
      <c r="M7" s="94">
        <v>1616.177490234375</v>
      </c>
      <c r="N7" s="94">
        <v>4281.19091796875</v>
      </c>
      <c r="O7" s="79"/>
      <c r="P7" s="95"/>
      <c r="Q7" s="95"/>
      <c r="R7" s="96"/>
      <c r="S7" s="51">
        <v>5</v>
      </c>
      <c r="T7" s="51">
        <v>0</v>
      </c>
      <c r="U7" s="96"/>
      <c r="V7" s="53"/>
      <c r="W7" s="53"/>
      <c r="X7" s="53"/>
      <c r="Y7" s="53"/>
      <c r="Z7" s="52"/>
      <c r="AA7" s="81">
        <v>7</v>
      </c>
      <c r="AB7" s="81"/>
      <c r="AC7" s="97" t="s">
        <v>185</v>
      </c>
    </row>
    <row r="8" spans="1:34" x14ac:dyDescent="0.25">
      <c r="A8" s="98" t="s">
        <v>179</v>
      </c>
      <c r="B8" s="99" t="s">
        <v>191</v>
      </c>
      <c r="C8" s="99"/>
      <c r="D8" s="100">
        <v>1.5</v>
      </c>
      <c r="E8" s="101"/>
      <c r="F8" s="99"/>
      <c r="G8" s="99"/>
      <c r="H8" s="102" t="s">
        <v>179</v>
      </c>
      <c r="I8" s="103"/>
      <c r="J8" s="103"/>
      <c r="K8" s="102"/>
      <c r="L8" s="104"/>
      <c r="M8" s="105">
        <v>99.461647033691406</v>
      </c>
      <c r="N8" s="105">
        <v>9297.1376953125</v>
      </c>
      <c r="O8" s="106"/>
      <c r="P8" s="107"/>
      <c r="Q8" s="107"/>
      <c r="R8" s="108"/>
      <c r="S8" s="51">
        <v>0</v>
      </c>
      <c r="T8" s="51">
        <v>1</v>
      </c>
      <c r="U8" s="108"/>
      <c r="V8" s="109"/>
      <c r="W8" s="109"/>
      <c r="X8" s="109"/>
      <c r="Y8" s="109"/>
      <c r="Z8" s="110"/>
      <c r="AA8" s="111">
        <v>8</v>
      </c>
      <c r="AB8" s="111"/>
      <c r="AC8" s="112" t="s">
        <v>184</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AA8"/>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O8">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8"/>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L8"/>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P8"/>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Q8"/>
    <dataValidation allowBlank="1" showInputMessage="1" errorTitle="Invalid Vertex Image Key" promptTitle="Vertex Tooltip" prompt="Enter optional text that will pop up when the mouse is hovered over the vertex." sqref="K3:K8"/>
    <dataValidation allowBlank="1" errorTitle="Invalid Vertex Visibility" error="You have entered an unrecognized vertex visibility.  Try selecting from the drop-down list instead." promptTitle="Vertex ID" prompt="This is a unique ID that gets filled in automatically.  Do not edit this column." sqref="AB3:AB8"/>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G8">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H8"/>
    <dataValidation allowBlank="1" showInputMessage="1" promptTitle="Vertex Label Fill Color" prompt="To select an optional fill color for the Label shape, right-click and select Select Color on the right-click menu." sqref="I3:I8"/>
    <dataValidation allowBlank="1" showInputMessage="1" errorTitle="Invalid Vertex Image Key" promptTitle="Vertex Image File" prompt="Enter the path to an image file.  Hover over the column header for examples." sqref="F3:F8"/>
    <dataValidation allowBlank="1" showInputMessage="1" promptTitle="Vertex Color" prompt="To select an optional vertex color, right-click and select Select Color on the right-click menu." sqref="B3:B8"/>
    <dataValidation allowBlank="1" showInputMessage="1" errorTitle="Invalid Vertex Opacity" error="The optional vertex opacity must be a whole number between 0 and 10." promptTitle="Vertex Opacity" prompt="Enter an optional vertex opacity between 0 (transparent) and 100 (opaque)." sqref="E3:E8"/>
    <dataValidation type="list" allowBlank="1" showInputMessage="1" showErrorMessage="1" errorTitle="Invalid Vertex Shape" error="You have entered an invalid vertex shape.  Try selecting from the drop-down list instead." promptTitle="Vertex Shape" prompt="Select an optional vertex shape." sqref="C3:C8">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D8"/>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J8">
      <formula1>ValidVertexLabelPositions</formula1>
    </dataValidation>
    <dataValidation allowBlank="1" showInputMessage="1" showErrorMessage="1" promptTitle="Vertex Name" prompt="Enter the name of the vertex." sqref="A3:A8"/>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49</v>
      </c>
    </row>
    <row r="2" spans="1:1" ht="15" customHeight="1" x14ac:dyDescent="0.25"/>
    <row r="3" spans="1:1" ht="15" customHeight="1" x14ac:dyDescent="0.25">
      <c r="A3" s="32" t="s">
        <v>50</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customWidth="1"/>
    <col min="12" max="12" width="9.7109375" customWidth="1"/>
    <col min="13" max="13" width="13.140625" customWidth="1"/>
    <col min="14" max="15" width="8.42578125" customWidth="1"/>
    <col min="16" max="16" width="18.28515625" customWidth="1"/>
    <col min="17" max="17" width="14.85546875" customWidth="1"/>
    <col min="18" max="18" width="14.5703125" customWidth="1"/>
    <col min="19" max="21" width="24.140625" customWidth="1"/>
    <col min="22" max="22" width="21.28515625" customWidth="1"/>
    <col min="23" max="23" width="19.28515625" customWidth="1"/>
    <col min="24" max="24" width="10" customWidth="1"/>
    <col min="25" max="25" width="13" customWidth="1"/>
  </cols>
  <sheetData>
    <row r="1" spans="1:24" x14ac:dyDescent="0.25">
      <c r="B1" s="70" t="s">
        <v>39</v>
      </c>
      <c r="C1" s="71"/>
      <c r="D1" s="71"/>
      <c r="E1" s="72"/>
      <c r="F1" s="68" t="s">
        <v>43</v>
      </c>
      <c r="G1" s="73" t="s">
        <v>44</v>
      </c>
      <c r="H1" s="74"/>
      <c r="I1" s="75" t="s">
        <v>40</v>
      </c>
      <c r="J1" s="76"/>
      <c r="K1" s="77" t="s">
        <v>42</v>
      </c>
      <c r="L1" s="78"/>
      <c r="M1" s="78"/>
      <c r="N1" s="78"/>
      <c r="O1" s="78"/>
      <c r="P1" s="78"/>
      <c r="Q1" s="78"/>
      <c r="R1" s="78"/>
      <c r="S1" s="78"/>
      <c r="T1" s="78"/>
      <c r="U1" s="78"/>
      <c r="V1" s="78"/>
      <c r="W1" s="78"/>
      <c r="X1" s="78"/>
    </row>
    <row r="2" spans="1:24" s="13" customFormat="1" ht="30" customHeight="1" x14ac:dyDescent="0.25">
      <c r="A2" s="11" t="s">
        <v>144</v>
      </c>
      <c r="B2" s="13" t="s">
        <v>21</v>
      </c>
      <c r="C2" s="13" t="s">
        <v>20</v>
      </c>
      <c r="D2" s="13" t="s">
        <v>11</v>
      </c>
      <c r="E2" s="13" t="s">
        <v>145</v>
      </c>
      <c r="F2" s="13" t="s">
        <v>46</v>
      </c>
      <c r="G2" s="13" t="s">
        <v>167</v>
      </c>
      <c r="H2" s="13" t="s">
        <v>168</v>
      </c>
      <c r="I2" s="13" t="s">
        <v>12</v>
      </c>
      <c r="J2" s="13" t="s">
        <v>166</v>
      </c>
      <c r="K2" s="13" t="s">
        <v>146</v>
      </c>
      <c r="L2" s="13" t="s">
        <v>148</v>
      </c>
      <c r="M2" s="13" t="s">
        <v>149</v>
      </c>
      <c r="N2" s="13" t="s">
        <v>150</v>
      </c>
      <c r="O2" s="13" t="s">
        <v>151</v>
      </c>
      <c r="P2" s="13" t="s">
        <v>170</v>
      </c>
      <c r="Q2" s="13" t="s">
        <v>171</v>
      </c>
      <c r="R2" s="13" t="s">
        <v>152</v>
      </c>
      <c r="S2" s="13" t="s">
        <v>153</v>
      </c>
      <c r="T2" s="13" t="s">
        <v>154</v>
      </c>
      <c r="U2" s="13" t="s">
        <v>155</v>
      </c>
      <c r="V2" s="13" t="s">
        <v>156</v>
      </c>
      <c r="W2" s="13" t="s">
        <v>157</v>
      </c>
      <c r="X2" s="13" t="s">
        <v>158</v>
      </c>
    </row>
    <row r="3" spans="1:24" x14ac:dyDescent="0.25">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144</v>
      </c>
      <c r="B1" s="1" t="s">
        <v>5</v>
      </c>
      <c r="C1" s="1" t="s">
        <v>147</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tabSelected="1"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162</v>
      </c>
      <c r="B1" s="13" t="s">
        <v>17</v>
      </c>
      <c r="D1" t="s">
        <v>79</v>
      </c>
      <c r="E1" t="s">
        <v>80</v>
      </c>
      <c r="F1" s="37" t="s">
        <v>86</v>
      </c>
      <c r="G1" s="38" t="s">
        <v>87</v>
      </c>
      <c r="H1" s="37" t="s">
        <v>92</v>
      </c>
      <c r="I1" s="38" t="s">
        <v>93</v>
      </c>
      <c r="J1" s="37" t="s">
        <v>98</v>
      </c>
      <c r="K1" s="38" t="s">
        <v>99</v>
      </c>
      <c r="L1" s="37" t="s">
        <v>104</v>
      </c>
      <c r="M1" s="38" t="s">
        <v>105</v>
      </c>
      <c r="N1" s="37" t="s">
        <v>110</v>
      </c>
      <c r="O1" s="38" t="s">
        <v>111</v>
      </c>
      <c r="P1" s="38" t="s">
        <v>138</v>
      </c>
      <c r="Q1" s="38" t="s">
        <v>139</v>
      </c>
      <c r="R1" s="37" t="s">
        <v>116</v>
      </c>
      <c r="S1" s="37" t="s">
        <v>117</v>
      </c>
      <c r="T1" s="37" t="s">
        <v>122</v>
      </c>
      <c r="U1" s="38" t="s">
        <v>123</v>
      </c>
      <c r="W1" t="s">
        <v>127</v>
      </c>
      <c r="X1" t="s">
        <v>17</v>
      </c>
    </row>
    <row r="2" spans="1:24" ht="15.75" thickTop="1" x14ac:dyDescent="0.25">
      <c r="A2" s="36" t="s">
        <v>186</v>
      </c>
      <c r="B2" s="36" t="s">
        <v>180</v>
      </c>
      <c r="D2" s="33">
        <f>MIN(Vertices[Degree])</f>
        <v>0</v>
      </c>
      <c r="E2" s="3">
        <f>COUNTIF(Vertices[Degree], "&gt;= " &amp; D2) - COUNTIF(Vertices[Degree], "&gt;=" &amp; D3)</f>
        <v>0</v>
      </c>
      <c r="F2" s="39">
        <f>MIN(Vertices[In-Degree])</f>
        <v>0</v>
      </c>
      <c r="G2" s="40">
        <f>COUNTIF(Vertices[In-Degree], "&gt;= " &amp; F2) - COUNTIF(Vertices[In-Degree], "&gt;=" &amp; F3)</f>
        <v>2</v>
      </c>
      <c r="H2" s="39">
        <f>MIN(Vertices[Out-Degree])</f>
        <v>0</v>
      </c>
      <c r="I2" s="40">
        <f>COUNTIF(Vertices[Out-Degree], "&gt;= " &amp; H2) - COUNTIF(Vertices[Out-Degree], "&gt;=" &amp; H3)</f>
        <v>1</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124</v>
      </c>
      <c r="X2">
        <f>ROWS(HistogramBins[Degree Bin]) - 1</f>
        <v>43</v>
      </c>
    </row>
    <row r="3" spans="1:24" x14ac:dyDescent="0.25">
      <c r="A3" s="113"/>
      <c r="B3" s="113"/>
      <c r="D3" s="34">
        <f t="shared" ref="D3:D44" si="1">D2+($D$45-$D$2)/BinDivisor</f>
        <v>0</v>
      </c>
      <c r="E3" s="3">
        <f>COUNTIF(Vertices[Degree], "&gt;= " &amp; D3) - COUNTIF(Vertices[Degree], "&gt;=" &amp; D4)</f>
        <v>0</v>
      </c>
      <c r="F3" s="41">
        <f t="shared" ref="F3:F44" si="2">F2+($F$45-$F$2)/BinDivisor</f>
        <v>0.11627906976744186</v>
      </c>
      <c r="G3" s="42">
        <f>COUNTIF(Vertices[In-Degree], "&gt;= " &amp; F3) - COUNTIF(Vertices[In-Degree], "&gt;=" &amp; F4)</f>
        <v>0</v>
      </c>
      <c r="H3" s="41">
        <f t="shared" ref="H3:H44" si="3">H2+($H$45-$H$2)/BinDivisor</f>
        <v>9.3023255813953487E-2</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125</v>
      </c>
      <c r="X3" t="s">
        <v>85</v>
      </c>
    </row>
    <row r="4" spans="1:24" x14ac:dyDescent="0.25">
      <c r="A4" s="36" t="s">
        <v>146</v>
      </c>
      <c r="B4" s="36">
        <v>6</v>
      </c>
      <c r="D4" s="34">
        <f t="shared" si="1"/>
        <v>0</v>
      </c>
      <c r="E4" s="3">
        <f>COUNTIF(Vertices[Degree], "&gt;= " &amp; D4) - COUNTIF(Vertices[Degree], "&gt;=" &amp; D5)</f>
        <v>0</v>
      </c>
      <c r="F4" s="39">
        <f t="shared" si="2"/>
        <v>0.23255813953488372</v>
      </c>
      <c r="G4" s="40">
        <f>COUNTIF(Vertices[In-Degree], "&gt;= " &amp; F4) - COUNTIF(Vertices[In-Degree], "&gt;=" &amp; F5)</f>
        <v>0</v>
      </c>
      <c r="H4" s="39">
        <f t="shared" si="3"/>
        <v>0.18604651162790697</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126</v>
      </c>
      <c r="X4" s="12" t="s">
        <v>128</v>
      </c>
    </row>
    <row r="5" spans="1:24" x14ac:dyDescent="0.25">
      <c r="A5" s="113"/>
      <c r="B5" s="113"/>
      <c r="D5" s="34">
        <f t="shared" si="1"/>
        <v>0</v>
      </c>
      <c r="E5" s="3">
        <f>COUNTIF(Vertices[Degree], "&gt;= " &amp; D5) - COUNTIF(Vertices[Degree], "&gt;=" &amp; D6)</f>
        <v>0</v>
      </c>
      <c r="F5" s="41">
        <f t="shared" si="2"/>
        <v>0.34883720930232559</v>
      </c>
      <c r="G5" s="42">
        <f>COUNTIF(Vertices[In-Degree], "&gt;= " &amp; F5) - COUNTIF(Vertices[In-Degree], "&gt;=" &amp; F6)</f>
        <v>0</v>
      </c>
      <c r="H5" s="41">
        <f t="shared" si="3"/>
        <v>0.27906976744186046</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x14ac:dyDescent="0.25">
      <c r="A6" s="36" t="s">
        <v>148</v>
      </c>
      <c r="B6" s="36">
        <v>9</v>
      </c>
      <c r="D6" s="34">
        <f t="shared" si="1"/>
        <v>0</v>
      </c>
      <c r="E6" s="3">
        <f>COUNTIF(Vertices[Degree], "&gt;= " &amp; D6) - COUNTIF(Vertices[Degree], "&gt;=" &amp; D7)</f>
        <v>0</v>
      </c>
      <c r="F6" s="39">
        <f t="shared" si="2"/>
        <v>0.46511627906976744</v>
      </c>
      <c r="G6" s="40">
        <f>COUNTIF(Vertices[In-Degree], "&gt;= " &amp; F6) - COUNTIF(Vertices[In-Degree], "&gt;=" &amp; F7)</f>
        <v>0</v>
      </c>
      <c r="H6" s="39">
        <f t="shared" si="3"/>
        <v>0.37209302325581395</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x14ac:dyDescent="0.25">
      <c r="A7" s="36" t="s">
        <v>149</v>
      </c>
      <c r="B7" s="36">
        <v>0</v>
      </c>
      <c r="D7" s="34">
        <f t="shared" si="1"/>
        <v>0</v>
      </c>
      <c r="E7" s="3">
        <f>COUNTIF(Vertices[Degree], "&gt;= " &amp; D7) - COUNTIF(Vertices[Degree], "&gt;=" &amp; D8)</f>
        <v>0</v>
      </c>
      <c r="F7" s="41">
        <f t="shared" si="2"/>
        <v>0.58139534883720934</v>
      </c>
      <c r="G7" s="42">
        <f>COUNTIF(Vertices[In-Degree], "&gt;= " &amp; F7) - COUNTIF(Vertices[In-Degree], "&gt;=" &amp; F8)</f>
        <v>0</v>
      </c>
      <c r="H7" s="41">
        <f t="shared" si="3"/>
        <v>0.46511627906976744</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x14ac:dyDescent="0.25">
      <c r="A8" s="36" t="s">
        <v>150</v>
      </c>
      <c r="B8" s="36">
        <v>9</v>
      </c>
      <c r="D8" s="34">
        <f t="shared" si="1"/>
        <v>0</v>
      </c>
      <c r="E8" s="3">
        <f>COUNTIF(Vertices[Degree], "&gt;= " &amp; D8) - COUNTIF(Vertices[Degree], "&gt;=" &amp; D9)</f>
        <v>0</v>
      </c>
      <c r="F8" s="39">
        <f t="shared" si="2"/>
        <v>0.69767441860465118</v>
      </c>
      <c r="G8" s="40">
        <f>COUNTIF(Vertices[In-Degree], "&gt;= " &amp; F8) - COUNTIF(Vertices[In-Degree], "&gt;=" &amp; F9)</f>
        <v>0</v>
      </c>
      <c r="H8" s="39">
        <f t="shared" si="3"/>
        <v>0.55813953488372092</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x14ac:dyDescent="0.25">
      <c r="A9" s="113"/>
      <c r="B9" s="113"/>
      <c r="D9" s="34">
        <f t="shared" si="1"/>
        <v>0</v>
      </c>
      <c r="E9" s="3">
        <f>COUNTIF(Vertices[Degree], "&gt;= " &amp; D9) - COUNTIF(Vertices[Degree], "&gt;=" &amp; D10)</f>
        <v>0</v>
      </c>
      <c r="F9" s="41">
        <f t="shared" si="2"/>
        <v>0.81395348837209303</v>
      </c>
      <c r="G9" s="42">
        <f>COUNTIF(Vertices[In-Degree], "&gt;= " &amp; F9) - COUNTIF(Vertices[In-Degree], "&gt;=" &amp; F10)</f>
        <v>0</v>
      </c>
      <c r="H9" s="41">
        <f t="shared" si="3"/>
        <v>0.65116279069767447</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x14ac:dyDescent="0.25">
      <c r="A10" s="36" t="s">
        <v>151</v>
      </c>
      <c r="B10" s="36">
        <v>0</v>
      </c>
      <c r="D10" s="34">
        <f t="shared" si="1"/>
        <v>0</v>
      </c>
      <c r="E10" s="3">
        <f>COUNTIF(Vertices[Degree], "&gt;= " &amp; D10) - COUNTIF(Vertices[Degree], "&gt;=" &amp; D11)</f>
        <v>0</v>
      </c>
      <c r="F10" s="39">
        <f t="shared" si="2"/>
        <v>0.93023255813953487</v>
      </c>
      <c r="G10" s="40">
        <f>COUNTIF(Vertices[In-Degree], "&gt;= " &amp; F10) - COUNTIF(Vertices[In-Degree], "&gt;=" &amp; F11)</f>
        <v>2</v>
      </c>
      <c r="H10" s="39">
        <f t="shared" si="3"/>
        <v>0.7441860465116279</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x14ac:dyDescent="0.25">
      <c r="A11" s="113"/>
      <c r="B11" s="113"/>
      <c r="D11" s="34">
        <f t="shared" si="1"/>
        <v>0</v>
      </c>
      <c r="E11" s="3">
        <f>COUNTIF(Vertices[Degree], "&gt;= " &amp; D11) - COUNTIF(Vertices[Degree], "&gt;=" &amp; D12)</f>
        <v>0</v>
      </c>
      <c r="F11" s="41">
        <f t="shared" si="2"/>
        <v>1.0465116279069768</v>
      </c>
      <c r="G11" s="42">
        <f>COUNTIF(Vertices[In-Degree], "&gt;= " &amp; F11) - COUNTIF(Vertices[In-Degree], "&gt;=" &amp; F12)</f>
        <v>0</v>
      </c>
      <c r="H11" s="41">
        <f t="shared" si="3"/>
        <v>0.83720930232558133</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x14ac:dyDescent="0.25">
      <c r="A12" s="36" t="s">
        <v>170</v>
      </c>
      <c r="B12" s="36">
        <v>0</v>
      </c>
      <c r="D12" s="34">
        <f t="shared" si="1"/>
        <v>0</v>
      </c>
      <c r="E12" s="3">
        <f>COUNTIF(Vertices[Degree], "&gt;= " &amp; D12) - COUNTIF(Vertices[Degree], "&gt;=" &amp; D13)</f>
        <v>0</v>
      </c>
      <c r="F12" s="39">
        <f t="shared" si="2"/>
        <v>1.1627906976744187</v>
      </c>
      <c r="G12" s="40">
        <f>COUNTIF(Vertices[In-Degree], "&gt;= " &amp; F12) - COUNTIF(Vertices[In-Degree], "&gt;=" &amp; F13)</f>
        <v>0</v>
      </c>
      <c r="H12" s="39">
        <f t="shared" si="3"/>
        <v>0.93023255813953476</v>
      </c>
      <c r="I12" s="40">
        <f>COUNTIF(Vertices[Out-Degree], "&gt;= " &amp; H12) - COUNTIF(Vertices[Out-Degree], "&gt;=" &amp; H13)</f>
        <v>3</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x14ac:dyDescent="0.25">
      <c r="A13" s="36" t="s">
        <v>171</v>
      </c>
      <c r="B13" s="36">
        <v>0</v>
      </c>
      <c r="D13" s="34">
        <f t="shared" si="1"/>
        <v>0</v>
      </c>
      <c r="E13" s="3">
        <f>COUNTIF(Vertices[Degree], "&gt;= " &amp; D13) - COUNTIF(Vertices[Degree], "&gt;=" &amp; D14)</f>
        <v>0</v>
      </c>
      <c r="F13" s="41">
        <f t="shared" si="2"/>
        <v>1.2790697674418605</v>
      </c>
      <c r="G13" s="42">
        <f>COUNTIF(Vertices[In-Degree], "&gt;= " &amp; F13) - COUNTIF(Vertices[In-Degree], "&gt;=" &amp; F14)</f>
        <v>0</v>
      </c>
      <c r="H13" s="41">
        <f t="shared" si="3"/>
        <v>1.0232558139534882</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x14ac:dyDescent="0.25">
      <c r="A14" s="113"/>
      <c r="B14" s="113"/>
      <c r="D14" s="34">
        <f t="shared" si="1"/>
        <v>0</v>
      </c>
      <c r="E14" s="3">
        <f>COUNTIF(Vertices[Degree], "&gt;= " &amp; D14) - COUNTIF(Vertices[Degree], "&gt;=" &amp; D15)</f>
        <v>0</v>
      </c>
      <c r="F14" s="39">
        <f t="shared" si="2"/>
        <v>1.3953488372093024</v>
      </c>
      <c r="G14" s="40">
        <f>COUNTIF(Vertices[In-Degree], "&gt;= " &amp; F14) - COUNTIF(Vertices[In-Degree], "&gt;=" &amp; F15)</f>
        <v>0</v>
      </c>
      <c r="H14" s="39">
        <f t="shared" si="3"/>
        <v>1.1162790697674416</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x14ac:dyDescent="0.25">
      <c r="A15" s="36" t="s">
        <v>152</v>
      </c>
      <c r="B15" s="36">
        <v>1</v>
      </c>
      <c r="D15" s="34">
        <f t="shared" si="1"/>
        <v>0</v>
      </c>
      <c r="E15" s="3">
        <f>COUNTIF(Vertices[Degree], "&gt;= " &amp; D15) - COUNTIF(Vertices[Degree], "&gt;=" &amp; D16)</f>
        <v>0</v>
      </c>
      <c r="F15" s="41">
        <f t="shared" si="2"/>
        <v>1.5116279069767442</v>
      </c>
      <c r="G15" s="42">
        <f>COUNTIF(Vertices[In-Degree], "&gt;= " &amp; F15) - COUNTIF(Vertices[In-Degree], "&gt;=" &amp; F16)</f>
        <v>0</v>
      </c>
      <c r="H15" s="41">
        <f t="shared" si="3"/>
        <v>1.2093023255813951</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x14ac:dyDescent="0.25">
      <c r="A16" s="36" t="s">
        <v>153</v>
      </c>
      <c r="B16" s="36">
        <v>0</v>
      </c>
      <c r="D16" s="34">
        <f t="shared" si="1"/>
        <v>0</v>
      </c>
      <c r="E16" s="3">
        <f>COUNTIF(Vertices[Degree], "&gt;= " &amp; D16) - COUNTIF(Vertices[Degree], "&gt;=" &amp; D17)</f>
        <v>0</v>
      </c>
      <c r="F16" s="39">
        <f t="shared" si="2"/>
        <v>1.6279069767441861</v>
      </c>
      <c r="G16" s="40">
        <f>COUNTIF(Vertices[In-Degree], "&gt;= " &amp; F16) - COUNTIF(Vertices[In-Degree], "&gt;=" &amp; F17)</f>
        <v>0</v>
      </c>
      <c r="H16" s="39">
        <f t="shared" si="3"/>
        <v>1.3023255813953485</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x14ac:dyDescent="0.25">
      <c r="A17" s="36" t="s">
        <v>154</v>
      </c>
      <c r="B17" s="36">
        <v>6</v>
      </c>
      <c r="D17" s="34">
        <f t="shared" si="1"/>
        <v>0</v>
      </c>
      <c r="E17" s="3">
        <f>COUNTIF(Vertices[Degree], "&gt;= " &amp; D17) - COUNTIF(Vertices[Degree], "&gt;=" &amp; D18)</f>
        <v>0</v>
      </c>
      <c r="F17" s="41">
        <f t="shared" si="2"/>
        <v>1.7441860465116279</v>
      </c>
      <c r="G17" s="42">
        <f>COUNTIF(Vertices[In-Degree], "&gt;= " &amp; F17) - COUNTIF(Vertices[In-Degree], "&gt;=" &amp; F18)</f>
        <v>0</v>
      </c>
      <c r="H17" s="41">
        <f t="shared" si="3"/>
        <v>1.3953488372093019</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x14ac:dyDescent="0.25">
      <c r="A18" s="36" t="s">
        <v>155</v>
      </c>
      <c r="B18" s="36">
        <v>9</v>
      </c>
      <c r="D18" s="34">
        <f t="shared" si="1"/>
        <v>0</v>
      </c>
      <c r="E18" s="3">
        <f>COUNTIF(Vertices[Degree], "&gt;= " &amp; D18) - COUNTIF(Vertices[Degree], "&gt;=" &amp; D19)</f>
        <v>0</v>
      </c>
      <c r="F18" s="39">
        <f t="shared" si="2"/>
        <v>1.8604651162790697</v>
      </c>
      <c r="G18" s="40">
        <f>COUNTIF(Vertices[In-Degree], "&gt;= " &amp; F18) - COUNTIF(Vertices[In-Degree], "&gt;=" &amp; F19)</f>
        <v>0</v>
      </c>
      <c r="H18" s="39">
        <f t="shared" si="3"/>
        <v>1.4883720930232553</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x14ac:dyDescent="0.25">
      <c r="A19" s="113"/>
      <c r="B19" s="113"/>
      <c r="D19" s="34">
        <f t="shared" si="1"/>
        <v>0</v>
      </c>
      <c r="E19" s="3">
        <f>COUNTIF(Vertices[Degree], "&gt;= " &amp; D19) - COUNTIF(Vertices[Degree], "&gt;=" &amp; D20)</f>
        <v>0</v>
      </c>
      <c r="F19" s="41">
        <f t="shared" si="2"/>
        <v>1.9767441860465116</v>
      </c>
      <c r="G19" s="42">
        <f>COUNTIF(Vertices[In-Degree], "&gt;= " &amp; F19) - COUNTIF(Vertices[In-Degree], "&gt;=" &amp; F20)</f>
        <v>1</v>
      </c>
      <c r="H19" s="41">
        <f t="shared" si="3"/>
        <v>1.5813953488372088</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x14ac:dyDescent="0.25">
      <c r="A20" s="36" t="s">
        <v>156</v>
      </c>
      <c r="B20" s="36">
        <v>2</v>
      </c>
      <c r="D20" s="34">
        <f t="shared" si="1"/>
        <v>0</v>
      </c>
      <c r="E20" s="3">
        <f>COUNTIF(Vertices[Degree], "&gt;= " &amp; D20) - COUNTIF(Vertices[Degree], "&gt;=" &amp; D21)</f>
        <v>0</v>
      </c>
      <c r="F20" s="39">
        <f t="shared" si="2"/>
        <v>2.0930232558139537</v>
      </c>
      <c r="G20" s="40">
        <f>COUNTIF(Vertices[In-Degree], "&gt;= " &amp; F20) - COUNTIF(Vertices[In-Degree], "&gt;=" &amp; F21)</f>
        <v>0</v>
      </c>
      <c r="H20" s="39">
        <f t="shared" si="3"/>
        <v>1.6744186046511622</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x14ac:dyDescent="0.25">
      <c r="A21" s="36" t="s">
        <v>157</v>
      </c>
      <c r="B21" s="36">
        <v>1.1666669999999999</v>
      </c>
      <c r="D21" s="34">
        <f t="shared" si="1"/>
        <v>0</v>
      </c>
      <c r="E21" s="3">
        <f>COUNTIF(Vertices[Degree], "&gt;= " &amp; D21) - COUNTIF(Vertices[Degree], "&gt;=" &amp; D22)</f>
        <v>0</v>
      </c>
      <c r="F21" s="41">
        <f t="shared" si="2"/>
        <v>2.2093023255813957</v>
      </c>
      <c r="G21" s="42">
        <f>COUNTIF(Vertices[In-Degree], "&gt;= " &amp; F21) - COUNTIF(Vertices[In-Degree], "&gt;=" &amp; F22)</f>
        <v>0</v>
      </c>
      <c r="H21" s="41">
        <f t="shared" si="3"/>
        <v>1.7674418604651156</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x14ac:dyDescent="0.25">
      <c r="A22" s="113"/>
      <c r="B22" s="113"/>
      <c r="D22" s="34">
        <f t="shared" si="1"/>
        <v>0</v>
      </c>
      <c r="E22" s="3">
        <f>COUNTIF(Vertices[Degree], "&gt;= " &amp; D22) - COUNTIF(Vertices[Degree], "&gt;=" &amp; D23)</f>
        <v>0</v>
      </c>
      <c r="F22" s="39">
        <f t="shared" si="2"/>
        <v>2.3255813953488378</v>
      </c>
      <c r="G22" s="40">
        <f>COUNTIF(Vertices[In-Degree], "&gt;= " &amp; F22) - COUNTIF(Vertices[In-Degree], "&gt;=" &amp; F23)</f>
        <v>0</v>
      </c>
      <c r="H22" s="39">
        <f t="shared" si="3"/>
        <v>1.8604651162790691</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x14ac:dyDescent="0.25">
      <c r="A23" s="36" t="s">
        <v>158</v>
      </c>
      <c r="B23" s="36">
        <v>0.3</v>
      </c>
      <c r="D23" s="34">
        <f t="shared" si="1"/>
        <v>0</v>
      </c>
      <c r="E23" s="3">
        <f>COUNTIF(Vertices[Degree], "&gt;= " &amp; D23) - COUNTIF(Vertices[Degree], "&gt;=" &amp; D24)</f>
        <v>0</v>
      </c>
      <c r="F23" s="41">
        <f t="shared" si="2"/>
        <v>2.4418604651162799</v>
      </c>
      <c r="G23" s="42">
        <f>COUNTIF(Vertices[In-Degree], "&gt;= " &amp; F23) - COUNTIF(Vertices[In-Degree], "&gt;=" &amp; F24)</f>
        <v>0</v>
      </c>
      <c r="H23" s="41">
        <f t="shared" si="3"/>
        <v>1.9534883720930225</v>
      </c>
      <c r="I23" s="42">
        <f>COUNTIF(Vertices[Out-Degree], "&gt;= " &amp; H23) - COUNTIF(Vertices[Out-Degree], "&gt;=" &amp; H24)</f>
        <v>1</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x14ac:dyDescent="0.25">
      <c r="A24" s="36" t="s">
        <v>187</v>
      </c>
      <c r="B24" s="36" t="s">
        <v>189</v>
      </c>
      <c r="D24" s="34">
        <f t="shared" si="1"/>
        <v>0</v>
      </c>
      <c r="E24" s="3">
        <f>COUNTIF(Vertices[Degree], "&gt;= " &amp; D24) - COUNTIF(Vertices[Degree], "&gt;=" &amp; D25)</f>
        <v>0</v>
      </c>
      <c r="F24" s="39">
        <f t="shared" si="2"/>
        <v>2.5581395348837219</v>
      </c>
      <c r="G24" s="40">
        <f>COUNTIF(Vertices[In-Degree], "&gt;= " &amp; F24) - COUNTIF(Vertices[In-Degree], "&gt;=" &amp; F25)</f>
        <v>0</v>
      </c>
      <c r="H24" s="39">
        <f t="shared" si="3"/>
        <v>2.0465116279069759</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x14ac:dyDescent="0.25">
      <c r="A25" s="113"/>
      <c r="B25" s="113"/>
      <c r="D25" s="34">
        <f t="shared" si="1"/>
        <v>0</v>
      </c>
      <c r="E25" s="3">
        <f>COUNTIF(Vertices[Degree], "&gt;= " &amp; D25) - COUNTIF(Vertices[Degree], "&gt;=" &amp; D26)</f>
        <v>0</v>
      </c>
      <c r="F25" s="41">
        <f t="shared" si="2"/>
        <v>2.674418604651164</v>
      </c>
      <c r="G25" s="42">
        <f>COUNTIF(Vertices[In-Degree], "&gt;= " &amp; F25) - COUNTIF(Vertices[In-Degree], "&gt;=" &amp; F26)</f>
        <v>0</v>
      </c>
      <c r="H25" s="41">
        <f t="shared" si="3"/>
        <v>2.1395348837209296</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x14ac:dyDescent="0.25">
      <c r="A26" s="36" t="s">
        <v>188</v>
      </c>
      <c r="B26" s="36" t="s">
        <v>190</v>
      </c>
      <c r="D26" s="34">
        <f t="shared" si="1"/>
        <v>0</v>
      </c>
      <c r="E26" s="3">
        <f>COUNTIF(Vertices[Degree], "&gt;= " &amp; D26) - COUNTIF(Vertices[Degree], "&gt;=" &amp; D27)</f>
        <v>0</v>
      </c>
      <c r="F26" s="39">
        <f t="shared" si="2"/>
        <v>2.7906976744186061</v>
      </c>
      <c r="G26" s="40">
        <f>COUNTIF(Vertices[In-Degree], "&gt;= " &amp; F26) - COUNTIF(Vertices[In-Degree], "&gt;=" &amp; F27)</f>
        <v>0</v>
      </c>
      <c r="H26" s="39">
        <f t="shared" si="3"/>
        <v>2.2325581395348832</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x14ac:dyDescent="0.25">
      <c r="D27" s="34">
        <f t="shared" si="1"/>
        <v>0</v>
      </c>
      <c r="E27" s="3">
        <f>COUNTIF(Vertices[Degree], "&gt;= " &amp; D27) - COUNTIF(Vertices[Degree], "&gt;=" &amp; D28)</f>
        <v>0</v>
      </c>
      <c r="F27" s="41">
        <f t="shared" si="2"/>
        <v>2.9069767441860481</v>
      </c>
      <c r="G27" s="42">
        <f>COUNTIF(Vertices[In-Degree], "&gt;= " &amp; F27) - COUNTIF(Vertices[In-Degree], "&gt;=" &amp; F28)</f>
        <v>0</v>
      </c>
      <c r="H27" s="41">
        <f t="shared" si="3"/>
        <v>2.3255813953488369</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x14ac:dyDescent="0.25">
      <c r="D28" s="34">
        <f t="shared" si="1"/>
        <v>0</v>
      </c>
      <c r="E28" s="3">
        <f>COUNTIF(Vertices[Degree], "&gt;= " &amp; D28) - COUNTIF(Vertices[Degree], "&gt;=" &amp; D29)</f>
        <v>0</v>
      </c>
      <c r="F28" s="39">
        <f t="shared" si="2"/>
        <v>3.0232558139534902</v>
      </c>
      <c r="G28" s="40">
        <f>COUNTIF(Vertices[In-Degree], "&gt;= " &amp; F28) - COUNTIF(Vertices[In-Degree], "&gt;=" &amp; F29)</f>
        <v>0</v>
      </c>
      <c r="H28" s="39">
        <f t="shared" si="3"/>
        <v>2.4186046511627906</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x14ac:dyDescent="0.25">
      <c r="A29" t="s">
        <v>163</v>
      </c>
      <c r="B29" t="s">
        <v>17</v>
      </c>
      <c r="D29" s="34">
        <f t="shared" si="1"/>
        <v>0</v>
      </c>
      <c r="E29" s="3">
        <f>COUNTIF(Vertices[Degree], "&gt;= " &amp; D29) - COUNTIF(Vertices[Degree], "&gt;=" &amp; D30)</f>
        <v>0</v>
      </c>
      <c r="F29" s="41">
        <f t="shared" si="2"/>
        <v>3.1395348837209323</v>
      </c>
      <c r="G29" s="42">
        <f>COUNTIF(Vertices[In-Degree], "&gt;= " &amp; F29) - COUNTIF(Vertices[In-Degree], "&gt;=" &amp; F30)</f>
        <v>0</v>
      </c>
      <c r="H29" s="41">
        <f t="shared" si="3"/>
        <v>2.5116279069767442</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x14ac:dyDescent="0.25">
      <c r="A30" s="35"/>
      <c r="B30" s="35"/>
      <c r="D30" s="34">
        <f t="shared" si="1"/>
        <v>0</v>
      </c>
      <c r="E30" s="3">
        <f>COUNTIF(Vertices[Degree], "&gt;= " &amp; D30) - COUNTIF(Vertices[Degree], "&gt;=" &amp; D31)</f>
        <v>0</v>
      </c>
      <c r="F30" s="39">
        <f t="shared" si="2"/>
        <v>3.2558139534883743</v>
      </c>
      <c r="G30" s="40">
        <f>COUNTIF(Vertices[In-Degree], "&gt;= " &amp; F30) - COUNTIF(Vertices[In-Degree], "&gt;=" &amp; F31)</f>
        <v>0</v>
      </c>
      <c r="H30" s="39">
        <f t="shared" si="3"/>
        <v>2.6046511627906979</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x14ac:dyDescent="0.25">
      <c r="A31" s="35"/>
      <c r="B31" s="35"/>
      <c r="D31" s="34">
        <f t="shared" si="1"/>
        <v>0</v>
      </c>
      <c r="E31" s="3">
        <f>COUNTIF(Vertices[Degree], "&gt;= " &amp; D31) - COUNTIF(Vertices[Degree], "&gt;=" &amp; D32)</f>
        <v>0</v>
      </c>
      <c r="F31" s="41">
        <f t="shared" si="2"/>
        <v>3.3720930232558164</v>
      </c>
      <c r="G31" s="42">
        <f>COUNTIF(Vertices[In-Degree], "&gt;= " &amp; F31) - COUNTIF(Vertices[In-Degree], "&gt;=" &amp; F32)</f>
        <v>0</v>
      </c>
      <c r="H31" s="41">
        <f t="shared" si="3"/>
        <v>2.6976744186046515</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x14ac:dyDescent="0.25">
      <c r="A32" s="35"/>
      <c r="B32" s="35"/>
      <c r="D32" s="34">
        <f t="shared" si="1"/>
        <v>0</v>
      </c>
      <c r="E32" s="3">
        <f>COUNTIF(Vertices[Degree], "&gt;= " &amp; D32) - COUNTIF(Vertices[Degree], "&gt;=" &amp; D33)</f>
        <v>0</v>
      </c>
      <c r="F32" s="39">
        <f t="shared" si="2"/>
        <v>3.4883720930232585</v>
      </c>
      <c r="G32" s="40">
        <f>COUNTIF(Vertices[In-Degree], "&gt;= " &amp; F32) - COUNTIF(Vertices[In-Degree], "&gt;=" &amp; F33)</f>
        <v>0</v>
      </c>
      <c r="H32" s="39">
        <f t="shared" si="3"/>
        <v>2.7906976744186052</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x14ac:dyDescent="0.25">
      <c r="D33" s="34">
        <f t="shared" si="1"/>
        <v>0</v>
      </c>
      <c r="E33" s="3">
        <f>COUNTIF(Vertices[Degree], "&gt;= " &amp; D33) - COUNTIF(Vertices[Degree], "&gt;=" &amp; D34)</f>
        <v>0</v>
      </c>
      <c r="F33" s="41">
        <f t="shared" si="2"/>
        <v>3.6046511627907005</v>
      </c>
      <c r="G33" s="42">
        <f>COUNTIF(Vertices[In-Degree], "&gt;= " &amp; F33) - COUNTIF(Vertices[In-Degree], "&gt;=" &amp; F34)</f>
        <v>0</v>
      </c>
      <c r="H33" s="41">
        <f t="shared" si="3"/>
        <v>2.8837209302325588</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x14ac:dyDescent="0.25">
      <c r="D34" s="34">
        <f t="shared" si="1"/>
        <v>0</v>
      </c>
      <c r="E34" s="3">
        <f>COUNTIF(Vertices[Degree], "&gt;= " &amp; D34) - COUNTIF(Vertices[Degree], "&gt;=" &amp; D35)</f>
        <v>0</v>
      </c>
      <c r="F34" s="39">
        <f t="shared" si="2"/>
        <v>3.7209302325581426</v>
      </c>
      <c r="G34" s="40">
        <f>COUNTIF(Vertices[In-Degree], "&gt;= " &amp; F34) - COUNTIF(Vertices[In-Degree], "&gt;=" &amp; F35)</f>
        <v>0</v>
      </c>
      <c r="H34" s="39">
        <f t="shared" si="3"/>
        <v>2.9767441860465125</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x14ac:dyDescent="0.25">
      <c r="D35" s="34">
        <f t="shared" si="1"/>
        <v>0</v>
      </c>
      <c r="E35" s="3">
        <f>COUNTIF(Vertices[Degree], "&gt;= " &amp; D35) - COUNTIF(Vertices[Degree], "&gt;=" &amp; D36)</f>
        <v>0</v>
      </c>
      <c r="F35" s="41">
        <f t="shared" si="2"/>
        <v>3.8372093023255847</v>
      </c>
      <c r="G35" s="42">
        <f>COUNTIF(Vertices[In-Degree], "&gt;= " &amp; F35) - COUNTIF(Vertices[In-Degree], "&gt;=" &amp; F36)</f>
        <v>0</v>
      </c>
      <c r="H35" s="41">
        <f t="shared" si="3"/>
        <v>3.0697674418604661</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x14ac:dyDescent="0.25">
      <c r="D36" s="34">
        <f t="shared" si="1"/>
        <v>0</v>
      </c>
      <c r="E36" s="3">
        <f>COUNTIF(Vertices[Degree], "&gt;= " &amp; D36) - COUNTIF(Vertices[Degree], "&gt;=" &amp; D37)</f>
        <v>0</v>
      </c>
      <c r="F36" s="39">
        <f t="shared" si="2"/>
        <v>3.9534883720930267</v>
      </c>
      <c r="G36" s="40">
        <f>COUNTIF(Vertices[In-Degree], "&gt;= " &amp; F36) - COUNTIF(Vertices[In-Degree], "&gt;=" &amp; F37)</f>
        <v>0</v>
      </c>
      <c r="H36" s="39">
        <f t="shared" si="3"/>
        <v>3.1627906976744198</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x14ac:dyDescent="0.25">
      <c r="D37" s="34">
        <f t="shared" si="1"/>
        <v>0</v>
      </c>
      <c r="E37" s="3">
        <f>COUNTIF(Vertices[Degree], "&gt;= " &amp; D37) - COUNTIF(Vertices[Degree], "&gt;=" &amp; D38)</f>
        <v>0</v>
      </c>
      <c r="F37" s="41">
        <f t="shared" si="2"/>
        <v>4.0697674418604688</v>
      </c>
      <c r="G37" s="42">
        <f>COUNTIF(Vertices[In-Degree], "&gt;= " &amp; F37) - COUNTIF(Vertices[In-Degree], "&gt;=" &amp; F38)</f>
        <v>0</v>
      </c>
      <c r="H37" s="41">
        <f t="shared" si="3"/>
        <v>3.2558139534883734</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x14ac:dyDescent="0.25">
      <c r="D38" s="34">
        <f t="shared" si="1"/>
        <v>0</v>
      </c>
      <c r="E38" s="3">
        <f>COUNTIF(Vertices[Degree], "&gt;= " &amp; D38) - COUNTIF(Vertices[Degree], "&gt;=" &amp; D39)</f>
        <v>0</v>
      </c>
      <c r="F38" s="39">
        <f t="shared" si="2"/>
        <v>4.1860465116279109</v>
      </c>
      <c r="G38" s="40">
        <f>COUNTIF(Vertices[In-Degree], "&gt;= " &amp; F38) - COUNTIF(Vertices[In-Degree], "&gt;=" &amp; F39)</f>
        <v>0</v>
      </c>
      <c r="H38" s="39">
        <f t="shared" si="3"/>
        <v>3.3488372093023271</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x14ac:dyDescent="0.25">
      <c r="D39" s="34">
        <f t="shared" si="1"/>
        <v>0</v>
      </c>
      <c r="E39" s="3">
        <f>COUNTIF(Vertices[Degree], "&gt;= " &amp; D39) - COUNTIF(Vertices[Degree], "&gt;=" &amp; D40)</f>
        <v>0</v>
      </c>
      <c r="F39" s="41">
        <f t="shared" si="2"/>
        <v>4.3023255813953529</v>
      </c>
      <c r="G39" s="42">
        <f>COUNTIF(Vertices[In-Degree], "&gt;= " &amp; F39) - COUNTIF(Vertices[In-Degree], "&gt;=" &amp; F40)</f>
        <v>0</v>
      </c>
      <c r="H39" s="41">
        <f t="shared" si="3"/>
        <v>3.4418604651162807</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x14ac:dyDescent="0.25">
      <c r="D40" s="34">
        <f t="shared" si="1"/>
        <v>0</v>
      </c>
      <c r="E40" s="3">
        <f>COUNTIF(Vertices[Degree], "&gt;= " &amp; D40) - COUNTIF(Vertices[Degree], "&gt;=" &amp; D41)</f>
        <v>0</v>
      </c>
      <c r="F40" s="39">
        <f t="shared" si="2"/>
        <v>4.418604651162795</v>
      </c>
      <c r="G40" s="40">
        <f>COUNTIF(Vertices[In-Degree], "&gt;= " &amp; F40) - COUNTIF(Vertices[In-Degree], "&gt;=" &amp; F41)</f>
        <v>0</v>
      </c>
      <c r="H40" s="39">
        <f t="shared" si="3"/>
        <v>3.5348837209302344</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x14ac:dyDescent="0.25">
      <c r="D41" s="34">
        <f t="shared" si="1"/>
        <v>0</v>
      </c>
      <c r="E41" s="3">
        <f>COUNTIF(Vertices[Degree], "&gt;= " &amp; D41) - COUNTIF(Vertices[Degree], "&gt;=" &amp; D42)</f>
        <v>0</v>
      </c>
      <c r="F41" s="41">
        <f t="shared" si="2"/>
        <v>4.5348837209302371</v>
      </c>
      <c r="G41" s="42">
        <f>COUNTIF(Vertices[In-Degree], "&gt;= " &amp; F41) - COUNTIF(Vertices[In-Degree], "&gt;=" &amp; F42)</f>
        <v>0</v>
      </c>
      <c r="H41" s="41">
        <f t="shared" si="3"/>
        <v>3.6279069767441881</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x14ac:dyDescent="0.25">
      <c r="D42" s="34">
        <f t="shared" si="1"/>
        <v>0</v>
      </c>
      <c r="E42" s="3">
        <f>COUNTIF(Vertices[Degree], "&gt;= " &amp; D42) - COUNTIF(Vertices[Degree], "&gt;=" &amp; D43)</f>
        <v>0</v>
      </c>
      <c r="F42" s="39">
        <f t="shared" si="2"/>
        <v>4.6511627906976791</v>
      </c>
      <c r="G42" s="40">
        <f>COUNTIF(Vertices[In-Degree], "&gt;= " &amp; F42) - COUNTIF(Vertices[In-Degree], "&gt;=" &amp; F43)</f>
        <v>0</v>
      </c>
      <c r="H42" s="39">
        <f t="shared" si="3"/>
        <v>3.7209302325581417</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x14ac:dyDescent="0.25">
      <c r="A43" s="35" t="s">
        <v>81</v>
      </c>
      <c r="B43" s="48" t="str">
        <f>IF(COUNT(Vertices[Degree])&gt;0, D2, NoMetricMessage)</f>
        <v>Not Available</v>
      </c>
      <c r="D43" s="34">
        <f t="shared" si="1"/>
        <v>0</v>
      </c>
      <c r="E43" s="3">
        <f>COUNTIF(Vertices[Degree], "&gt;= " &amp; D43) - COUNTIF(Vertices[Degree], "&gt;=" &amp; D44)</f>
        <v>0</v>
      </c>
      <c r="F43" s="41">
        <f t="shared" si="2"/>
        <v>4.7674418604651212</v>
      </c>
      <c r="G43" s="42">
        <f>COUNTIF(Vertices[In-Degree], "&gt;= " &amp; F43) - COUNTIF(Vertices[In-Degree], "&gt;=" &amp; F44)</f>
        <v>0</v>
      </c>
      <c r="H43" s="41">
        <f t="shared" si="3"/>
        <v>3.8139534883720954</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x14ac:dyDescent="0.25">
      <c r="A44" s="35" t="s">
        <v>82</v>
      </c>
      <c r="B44" s="48" t="str">
        <f>IF(COUNT(Vertices[Degree])&gt;0, D45, NoMetricMessage)</f>
        <v>Not Available</v>
      </c>
      <c r="D44" s="34">
        <f t="shared" si="1"/>
        <v>0</v>
      </c>
      <c r="E44" s="3">
        <f>COUNTIF(Vertices[Degree], "&gt;= " &amp; D44) - COUNTIF(Vertices[Degree], "&gt;=" &amp; D45)</f>
        <v>0</v>
      </c>
      <c r="F44" s="39">
        <f t="shared" si="2"/>
        <v>4.8837209302325633</v>
      </c>
      <c r="G44" s="40">
        <f>COUNTIF(Vertices[In-Degree], "&gt;= " &amp; F44) - COUNTIF(Vertices[In-Degree], "&gt;=" &amp; F45)</f>
        <v>0</v>
      </c>
      <c r="H44" s="39">
        <f t="shared" si="3"/>
        <v>3.906976744186049</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x14ac:dyDescent="0.25">
      <c r="A45" s="35" t="s">
        <v>83</v>
      </c>
      <c r="B45" s="49" t="str">
        <f>IFERROR(AVERAGE(Vertices[Degree]),NoMetricMessage)</f>
        <v>Not Available</v>
      </c>
      <c r="D45" s="34">
        <f>MAX(Vertices[Degree])</f>
        <v>0</v>
      </c>
      <c r="E45" s="3">
        <f>COUNTIF(Vertices[Degree], "&gt;= " &amp; D45) - COUNTIF(Vertices[Degree], "&gt;=" &amp; D46)</f>
        <v>0</v>
      </c>
      <c r="F45" s="43">
        <f>MAX(Vertices[In-Degree])</f>
        <v>5</v>
      </c>
      <c r="G45" s="44">
        <f>COUNTIF(Vertices[In-Degree], "&gt;= " &amp; F45) - COUNTIF(Vertices[In-Degree], "&gt;=" &amp; F46)</f>
        <v>1</v>
      </c>
      <c r="H45" s="43">
        <f>MAX(Vertices[Out-Degree])</f>
        <v>4</v>
      </c>
      <c r="I45" s="44">
        <f>COUNTIF(Vertices[Out-Degree], "&gt;= " &amp; H45) - COUNTIF(Vertices[Out-Degree], "&gt;=" &amp; H46)</f>
        <v>1</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x14ac:dyDescent="0.25">
      <c r="A46" s="35" t="s">
        <v>84</v>
      </c>
      <c r="B46" s="49" t="str">
        <f>IFERROR(MEDIAN(Vertices[Degree]),NoMetricMessage)</f>
        <v>Not Available</v>
      </c>
    </row>
    <row r="57" spans="1:2" x14ac:dyDescent="0.25">
      <c r="A57" s="35" t="s">
        <v>88</v>
      </c>
      <c r="B57" s="48">
        <f>IF(COUNT(Vertices[In-Degree])&gt;0, F2, NoMetricMessage)</f>
        <v>0</v>
      </c>
    </row>
    <row r="58" spans="1:2" x14ac:dyDescent="0.25">
      <c r="A58" s="35" t="s">
        <v>89</v>
      </c>
      <c r="B58" s="48">
        <f>IF(COUNT(Vertices[In-Degree])&gt;0, F45, NoMetricMessage)</f>
        <v>5</v>
      </c>
    </row>
    <row r="59" spans="1:2" x14ac:dyDescent="0.25">
      <c r="A59" s="35" t="s">
        <v>90</v>
      </c>
      <c r="B59" s="49">
        <f>IFERROR(AVERAGE(Vertices[In-Degree]),NoMetricMessage)</f>
        <v>1.5</v>
      </c>
    </row>
    <row r="60" spans="1:2" x14ac:dyDescent="0.25">
      <c r="A60" s="35" t="s">
        <v>91</v>
      </c>
      <c r="B60" s="49">
        <f>IFERROR(MEDIAN(Vertices[In-Degree]),NoMetricMessage)</f>
        <v>1</v>
      </c>
    </row>
    <row r="71" spans="1:2" x14ac:dyDescent="0.25">
      <c r="A71" s="35" t="s">
        <v>94</v>
      </c>
      <c r="B71" s="48">
        <f>IF(COUNT(Vertices[Out-Degree])&gt;0, H2, NoMetricMessage)</f>
        <v>0</v>
      </c>
    </row>
    <row r="72" spans="1:2" x14ac:dyDescent="0.25">
      <c r="A72" s="35" t="s">
        <v>95</v>
      </c>
      <c r="B72" s="48">
        <f>IF(COUNT(Vertices[Out-Degree])&gt;0, H45, NoMetricMessage)</f>
        <v>4</v>
      </c>
    </row>
    <row r="73" spans="1:2" x14ac:dyDescent="0.25">
      <c r="A73" s="35" t="s">
        <v>96</v>
      </c>
      <c r="B73" s="49">
        <f>IFERROR(AVERAGE(Vertices[Out-Degree]),NoMetricMessage)</f>
        <v>1.5</v>
      </c>
    </row>
    <row r="74" spans="1:2" x14ac:dyDescent="0.25">
      <c r="A74" s="35" t="s">
        <v>97</v>
      </c>
      <c r="B74" s="49">
        <f>IFERROR(MEDIAN(Vertices[Out-Degree]),NoMetricMessage)</f>
        <v>1</v>
      </c>
    </row>
    <row r="85" spans="1:2" x14ac:dyDescent="0.25">
      <c r="A85" s="35" t="s">
        <v>100</v>
      </c>
      <c r="B85" s="49" t="str">
        <f>IF(COUNT(Vertices[Betweenness Centrality])&gt;0, J2, NoMetricMessage)</f>
        <v>Not Available</v>
      </c>
    </row>
    <row r="86" spans="1:2" x14ac:dyDescent="0.25">
      <c r="A86" s="35" t="s">
        <v>101</v>
      </c>
      <c r="B86" s="49" t="str">
        <f>IF(COUNT(Vertices[Betweenness Centrality])&gt;0, J45, NoMetricMessage)</f>
        <v>Not Available</v>
      </c>
    </row>
    <row r="87" spans="1:2" x14ac:dyDescent="0.25">
      <c r="A87" s="35" t="s">
        <v>102</v>
      </c>
      <c r="B87" s="49" t="str">
        <f>IFERROR(AVERAGE(Vertices[Betweenness Centrality]),NoMetricMessage)</f>
        <v>Not Available</v>
      </c>
    </row>
    <row r="88" spans="1:2" x14ac:dyDescent="0.25">
      <c r="A88" s="35" t="s">
        <v>103</v>
      </c>
      <c r="B88" s="49" t="str">
        <f>IFERROR(MEDIAN(Vertices[Betweenness Centrality]),NoMetricMessage)</f>
        <v>Not Available</v>
      </c>
    </row>
    <row r="99" spans="1:2" x14ac:dyDescent="0.25">
      <c r="A99" s="35" t="s">
        <v>106</v>
      </c>
      <c r="B99" s="49" t="str">
        <f>IF(COUNT(Vertices[Closeness Centrality])&gt;0, L2, NoMetricMessage)</f>
        <v>Not Available</v>
      </c>
    </row>
    <row r="100" spans="1:2" x14ac:dyDescent="0.25">
      <c r="A100" s="35" t="s">
        <v>107</v>
      </c>
      <c r="B100" s="49" t="str">
        <f>IF(COUNT(Vertices[Closeness Centrality])&gt;0, L45, NoMetricMessage)</f>
        <v>Not Available</v>
      </c>
    </row>
    <row r="101" spans="1:2" x14ac:dyDescent="0.25">
      <c r="A101" s="35" t="s">
        <v>108</v>
      </c>
      <c r="B101" s="49" t="str">
        <f>IFERROR(AVERAGE(Vertices[Closeness Centrality]),NoMetricMessage)</f>
        <v>Not Available</v>
      </c>
    </row>
    <row r="102" spans="1:2" x14ac:dyDescent="0.25">
      <c r="A102" s="35" t="s">
        <v>109</v>
      </c>
      <c r="B102" s="49" t="str">
        <f>IFERROR(MEDIAN(Vertices[Closeness Centrality]),NoMetricMessage)</f>
        <v>Not Available</v>
      </c>
    </row>
    <row r="113" spans="1:2" x14ac:dyDescent="0.25">
      <c r="A113" s="35" t="s">
        <v>112</v>
      </c>
      <c r="B113" s="49" t="str">
        <f>IF(COUNT(Vertices[Eigenvector Centrality])&gt;0, N2, NoMetricMessage)</f>
        <v>Not Available</v>
      </c>
    </row>
    <row r="114" spans="1:2" x14ac:dyDescent="0.25">
      <c r="A114" s="35" t="s">
        <v>113</v>
      </c>
      <c r="B114" s="49" t="str">
        <f>IF(COUNT(Vertices[Eigenvector Centrality])&gt;0, N45, NoMetricMessage)</f>
        <v>Not Available</v>
      </c>
    </row>
    <row r="115" spans="1:2" x14ac:dyDescent="0.25">
      <c r="A115" s="35" t="s">
        <v>114</v>
      </c>
      <c r="B115" s="49" t="str">
        <f>IFERROR(AVERAGE(Vertices[Eigenvector Centrality]),NoMetricMessage)</f>
        <v>Not Available</v>
      </c>
    </row>
    <row r="116" spans="1:2" x14ac:dyDescent="0.25">
      <c r="A116" s="35" t="s">
        <v>115</v>
      </c>
      <c r="B116" s="49" t="str">
        <f>IFERROR(MEDIAN(Vertices[Eigenvector Centrality]),NoMetricMessage)</f>
        <v>Not Available</v>
      </c>
    </row>
    <row r="127" spans="1:2" x14ac:dyDescent="0.25">
      <c r="A127" s="35" t="s">
        <v>140</v>
      </c>
      <c r="B127" s="49" t="str">
        <f>IF(COUNT(Vertices[PageRank])&gt;0, P2, NoMetricMessage)</f>
        <v>Not Available</v>
      </c>
    </row>
    <row r="128" spans="1:2" x14ac:dyDescent="0.25">
      <c r="A128" s="35" t="s">
        <v>141</v>
      </c>
      <c r="B128" s="49" t="str">
        <f>IF(COUNT(Vertices[PageRank])&gt;0, P45, NoMetricMessage)</f>
        <v>Not Available</v>
      </c>
    </row>
    <row r="129" spans="1:2" x14ac:dyDescent="0.25">
      <c r="A129" s="35" t="s">
        <v>142</v>
      </c>
      <c r="B129" s="49" t="str">
        <f>IFERROR(AVERAGE(Vertices[PageRank]),NoMetricMessage)</f>
        <v>Not Available</v>
      </c>
    </row>
    <row r="130" spans="1:2" x14ac:dyDescent="0.25">
      <c r="A130" s="35" t="s">
        <v>143</v>
      </c>
      <c r="B130" s="49" t="str">
        <f>IFERROR(MEDIAN(Vertices[PageRank]),NoMetricMessage)</f>
        <v>Not Available</v>
      </c>
    </row>
    <row r="141" spans="1:2" x14ac:dyDescent="0.25">
      <c r="A141" s="35" t="s">
        <v>118</v>
      </c>
      <c r="B141" s="49" t="str">
        <f>IF(COUNT(Vertices[Clustering Coefficient])&gt;0, R2, NoMetricMessage)</f>
        <v>Not Available</v>
      </c>
    </row>
    <row r="142" spans="1:2" x14ac:dyDescent="0.25">
      <c r="A142" s="35" t="s">
        <v>119</v>
      </c>
      <c r="B142" s="49" t="str">
        <f>IF(COUNT(Vertices[Clustering Coefficient])&gt;0, R45, NoMetricMessage)</f>
        <v>Not Available</v>
      </c>
    </row>
    <row r="143" spans="1:2" x14ac:dyDescent="0.25">
      <c r="A143" s="35" t="s">
        <v>120</v>
      </c>
      <c r="B143" s="49" t="str">
        <f>IFERROR(AVERAGE(Vertices[Clustering Coefficient]),NoMetricMessage)</f>
        <v>Not Available</v>
      </c>
    </row>
    <row r="144" spans="1:2" x14ac:dyDescent="0.25">
      <c r="A144" s="35" t="s">
        <v>121</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131</v>
      </c>
      <c r="C1" s="4" t="s">
        <v>7</v>
      </c>
      <c r="D1" s="4" t="s">
        <v>9</v>
      </c>
      <c r="E1" s="4" t="s">
        <v>164</v>
      </c>
      <c r="F1" s="5" t="s">
        <v>169</v>
      </c>
      <c r="G1" s="4" t="s">
        <v>14</v>
      </c>
      <c r="H1" s="4" t="s">
        <v>67</v>
      </c>
      <c r="J1" s="4" t="s">
        <v>18</v>
      </c>
      <c r="K1" s="4" t="s">
        <v>17</v>
      </c>
      <c r="M1" s="4" t="s">
        <v>22</v>
      </c>
      <c r="N1" s="4" t="s">
        <v>23</v>
      </c>
      <c r="O1" s="4" t="s">
        <v>24</v>
      </c>
      <c r="P1" s="4" t="s">
        <v>25</v>
      </c>
    </row>
    <row r="2" spans="1:18" x14ac:dyDescent="0.25">
      <c r="A2" s="1" t="s">
        <v>51</v>
      </c>
      <c r="B2" s="1" t="s">
        <v>132</v>
      </c>
      <c r="C2" t="s">
        <v>54</v>
      </c>
      <c r="D2" t="s">
        <v>55</v>
      </c>
      <c r="E2" t="s">
        <v>55</v>
      </c>
      <c r="F2" s="1" t="s">
        <v>51</v>
      </c>
      <c r="G2" t="s">
        <v>65</v>
      </c>
      <c r="H2" t="s">
        <v>159</v>
      </c>
      <c r="J2" t="s">
        <v>19</v>
      </c>
      <c r="K2">
        <v>108</v>
      </c>
    </row>
    <row r="3" spans="1:18" x14ac:dyDescent="0.25">
      <c r="A3" s="1" t="s">
        <v>52</v>
      </c>
      <c r="B3" s="1" t="s">
        <v>133</v>
      </c>
      <c r="C3" t="s">
        <v>52</v>
      </c>
      <c r="D3" t="s">
        <v>56</v>
      </c>
      <c r="E3" t="s">
        <v>56</v>
      </c>
      <c r="F3" s="1" t="s">
        <v>52</v>
      </c>
      <c r="G3" t="s">
        <v>66</v>
      </c>
      <c r="H3" t="s">
        <v>68</v>
      </c>
      <c r="J3" t="s">
        <v>30</v>
      </c>
      <c r="K3" t="s">
        <v>180</v>
      </c>
    </row>
    <row r="4" spans="1:18" x14ac:dyDescent="0.25">
      <c r="A4" s="1" t="s">
        <v>53</v>
      </c>
      <c r="B4" s="1" t="s">
        <v>134</v>
      </c>
      <c r="C4" t="s">
        <v>53</v>
      </c>
      <c r="D4" t="s">
        <v>57</v>
      </c>
      <c r="E4" t="s">
        <v>57</v>
      </c>
      <c r="F4" s="1" t="s">
        <v>53</v>
      </c>
      <c r="G4">
        <v>0</v>
      </c>
      <c r="H4" t="s">
        <v>69</v>
      </c>
      <c r="J4" s="12" t="s">
        <v>78</v>
      </c>
      <c r="K4" s="12"/>
    </row>
    <row r="5" spans="1:18" ht="409.5" x14ac:dyDescent="0.25">
      <c r="A5">
        <v>1</v>
      </c>
      <c r="B5" s="1" t="s">
        <v>135</v>
      </c>
      <c r="C5" t="s">
        <v>51</v>
      </c>
      <c r="D5" t="s">
        <v>58</v>
      </c>
      <c r="E5" t="s">
        <v>58</v>
      </c>
      <c r="F5">
        <v>1</v>
      </c>
      <c r="G5">
        <v>1</v>
      </c>
      <c r="H5" t="s">
        <v>70</v>
      </c>
      <c r="J5" t="s">
        <v>172</v>
      </c>
      <c r="K5" s="13" t="s">
        <v>196</v>
      </c>
    </row>
    <row r="6" spans="1:18" x14ac:dyDescent="0.25">
      <c r="A6">
        <v>0</v>
      </c>
      <c r="B6" s="1" t="s">
        <v>136</v>
      </c>
      <c r="C6">
        <v>1</v>
      </c>
      <c r="D6" t="s">
        <v>59</v>
      </c>
      <c r="E6" t="s">
        <v>59</v>
      </c>
      <c r="F6">
        <v>0</v>
      </c>
      <c r="H6" t="s">
        <v>71</v>
      </c>
      <c r="J6" t="s">
        <v>173</v>
      </c>
      <c r="K6">
        <v>2</v>
      </c>
      <c r="R6" t="s">
        <v>129</v>
      </c>
    </row>
    <row r="7" spans="1:18" x14ac:dyDescent="0.25">
      <c r="A7">
        <v>2</v>
      </c>
      <c r="B7">
        <v>1</v>
      </c>
      <c r="C7">
        <v>0</v>
      </c>
      <c r="D7" t="s">
        <v>60</v>
      </c>
      <c r="E7" t="s">
        <v>60</v>
      </c>
      <c r="F7">
        <v>2</v>
      </c>
      <c r="H7" t="s">
        <v>72</v>
      </c>
      <c r="J7" t="s">
        <v>181</v>
      </c>
      <c r="K7" t="s">
        <v>182</v>
      </c>
    </row>
    <row r="8" spans="1:18" x14ac:dyDescent="0.25">
      <c r="A8"/>
      <c r="B8">
        <v>2</v>
      </c>
      <c r="C8">
        <v>2</v>
      </c>
      <c r="D8" t="s">
        <v>61</v>
      </c>
      <c r="E8" t="s">
        <v>61</v>
      </c>
      <c r="H8" t="s">
        <v>73</v>
      </c>
      <c r="J8" t="s">
        <v>193</v>
      </c>
      <c r="K8" t="s">
        <v>194</v>
      </c>
    </row>
    <row r="9" spans="1:18" ht="409.5" x14ac:dyDescent="0.25">
      <c r="A9"/>
      <c r="B9">
        <v>3</v>
      </c>
      <c r="C9">
        <v>4</v>
      </c>
      <c r="D9" t="s">
        <v>62</v>
      </c>
      <c r="E9" t="s">
        <v>62</v>
      </c>
      <c r="H9" t="s">
        <v>74</v>
      </c>
      <c r="J9" t="s">
        <v>195</v>
      </c>
      <c r="K9" s="13" t="s">
        <v>197</v>
      </c>
    </row>
    <row r="10" spans="1:18" x14ac:dyDescent="0.25">
      <c r="A10"/>
      <c r="B10">
        <v>4</v>
      </c>
      <c r="D10" t="s">
        <v>63</v>
      </c>
      <c r="E10" t="s">
        <v>63</v>
      </c>
      <c r="H10" t="s">
        <v>75</v>
      </c>
    </row>
    <row r="11" spans="1:18" x14ac:dyDescent="0.25">
      <c r="A11"/>
      <c r="B11">
        <v>5</v>
      </c>
      <c r="D11" t="s">
        <v>46</v>
      </c>
      <c r="E11">
        <v>1</v>
      </c>
      <c r="H11" t="s">
        <v>76</v>
      </c>
    </row>
    <row r="12" spans="1:18" x14ac:dyDescent="0.25">
      <c r="A12"/>
      <c r="B12"/>
      <c r="D12" t="s">
        <v>64</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5AED01A0-3CEC-4DE3-83EF-293F433917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Baxter, Christine</cp:lastModifiedBy>
  <dcterms:created xsi:type="dcterms:W3CDTF">2008-01-30T00:41:58Z</dcterms:created>
  <dcterms:modified xsi:type="dcterms:W3CDTF">2020-11-15T23:17:07Z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http://www.nodexlgraphgallery.org/NodeXLBasicSetup/Smrf.NodeXL.ExcelTemplate.vsto|aa51c0f3-62b4-4782-83a8-a15dcdd17698</vt:lpwstr>
  </property>
  <property fmtid="{D5CDD505-2E9C-101B-9397-08002B2CF9AE}" pid="4" name="_AssemblyName">
    <vt:lpwstr>4E3C66D5-58D4-491E-A7D4-64AF99AF6E8B</vt:lpwstr>
  </property>
  <property fmtid="{D5CDD505-2E9C-101B-9397-08002B2CF9AE}" pid="5" name="Solution ID">
    <vt:lpwstr>{15727DE6-F92D-4E46-ACB4-0E2C58B31A18}</vt:lpwstr>
  </property>
</Properties>
</file>